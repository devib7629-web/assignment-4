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tables/table10.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hidePivotFieldList="1"/>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Copilot prompt start Guides\"/>
    </mc:Choice>
  </mc:AlternateContent>
  <xr:revisionPtr revIDLastSave="0" documentId="8_{CD0D6464-014F-4EFC-A0C3-DCAD6BB1031B}" xr6:coauthVersionLast="47" xr6:coauthVersionMax="47" xr10:uidLastSave="{00000000-0000-0000-0000-000000000000}"/>
  <bookViews>
    <workbookView xWindow="-108" yWindow="-108" windowWidth="23256" windowHeight="12720" firstSheet="8" activeTab="8" xr2:uid="{A3A11F7E-2C6F-4404-9B7C-CCA8ED08E417}"/>
  </bookViews>
  <sheets>
    <sheet name="Copilot prompts" sheetId="1" r:id="rId1"/>
    <sheet name="basics" sheetId="2" r:id="rId2"/>
    <sheet name="data cleaning &amp; functions" sheetId="3" r:id="rId3"/>
    <sheet name="formulas &amp;logical functions" sheetId="4" r:id="rId4"/>
    <sheet name="formulas &amp;logical fxn 2" sheetId="5" r:id="rId5"/>
    <sheet name="pivot tables" sheetId="6" r:id="rId6"/>
    <sheet name="Sheet2" sheetId="8" r:id="rId7"/>
    <sheet name="Sheet3" sheetId="9" r:id="rId8"/>
    <sheet name="Sheet1" sheetId="7" r:id="rId9"/>
  </sheets>
  <definedNames>
    <definedName name="_xlnm._FilterDatabase" localSheetId="8" hidden="1">Sheet1!$N$24:$R$44</definedName>
  </definedNames>
  <calcPr calcId="191028"/>
  <pivotCaches>
    <pivotCache cacheId="308"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7" i="6" l="1"/>
  <c r="H88" i="6"/>
  <c r="H89" i="6"/>
  <c r="H90" i="6"/>
  <c r="H91" i="6"/>
  <c r="H92" i="6"/>
  <c r="H86" i="6"/>
  <c r="G87" i="6"/>
  <c r="G88" i="6"/>
  <c r="G89" i="6"/>
  <c r="G90" i="6"/>
  <c r="G91" i="6"/>
  <c r="G86" i="6"/>
  <c r="H64" i="6"/>
  <c r="H65" i="6"/>
  <c r="H66" i="6"/>
  <c r="H67" i="6"/>
  <c r="H68" i="6"/>
  <c r="H63" i="6"/>
  <c r="G65" i="6"/>
  <c r="G66" i="6"/>
  <c r="G67" i="6"/>
  <c r="G68" i="6"/>
  <c r="G64" i="6"/>
  <c r="G63" i="6"/>
  <c r="I38" i="6"/>
  <c r="J38" i="6"/>
  <c r="K38" i="6"/>
  <c r="H38" i="6"/>
  <c r="G38" i="6"/>
  <c r="C26" i="6"/>
  <c r="C27" i="6"/>
  <c r="C28" i="6"/>
  <c r="C29" i="6"/>
  <c r="C30" i="6"/>
  <c r="C25" i="6"/>
  <c r="B28" i="6"/>
  <c r="B29" i="6"/>
  <c r="B30" i="6"/>
  <c r="B31" i="6"/>
  <c r="B32" i="6"/>
  <c r="B27" i="6"/>
  <c r="B26" i="6"/>
  <c r="B25" i="6"/>
  <c r="D3" i="5"/>
  <c r="D2" i="5"/>
  <c r="C3" i="5"/>
  <c r="C2" i="5"/>
  <c r="F42" i="4"/>
  <c r="E42" i="4"/>
  <c r="D42" i="4"/>
  <c r="I21" i="4"/>
  <c r="I22" i="4"/>
  <c r="I23" i="4"/>
  <c r="I24" i="4"/>
  <c r="I25" i="4"/>
  <c r="I26" i="4"/>
  <c r="I27" i="4"/>
  <c r="I28" i="4"/>
  <c r="I29" i="4"/>
  <c r="I30" i="4"/>
  <c r="I31" i="4"/>
  <c r="I32" i="4"/>
  <c r="I33" i="4"/>
  <c r="I20" i="4"/>
  <c r="H21" i="4"/>
  <c r="H22" i="4"/>
  <c r="H23" i="4"/>
  <c r="H24" i="4"/>
  <c r="H25" i="4"/>
  <c r="H26" i="4"/>
  <c r="H27" i="4"/>
  <c r="H28" i="4"/>
  <c r="H29" i="4"/>
  <c r="H30" i="4"/>
  <c r="H31" i="4"/>
  <c r="H32" i="4"/>
  <c r="H33" i="4"/>
  <c r="H20" i="4"/>
  <c r="G3" i="4"/>
  <c r="H3" i="4" s="1"/>
  <c r="G4" i="4"/>
  <c r="H4" i="4" s="1"/>
  <c r="G5" i="4"/>
  <c r="H5" i="4" s="1"/>
  <c r="G6" i="4"/>
  <c r="H6" i="4" s="1"/>
  <c r="G2" i="4"/>
  <c r="H2" i="4" s="1"/>
  <c r="F3" i="4"/>
  <c r="F4" i="4"/>
  <c r="F5" i="4"/>
  <c r="F6" i="4"/>
  <c r="F2" i="4"/>
  <c r="B56" i="3"/>
  <c r="B55" i="3"/>
  <c r="B54" i="3"/>
  <c r="D44" i="3"/>
  <c r="C45" i="3"/>
  <c r="D45" i="3" s="1"/>
  <c r="C46" i="3"/>
  <c r="D46" i="3" s="1"/>
  <c r="C47" i="3"/>
  <c r="D47" i="3" s="1"/>
  <c r="C48" i="3"/>
  <c r="D48" i="3" s="1"/>
  <c r="C49" i="3"/>
  <c r="D49" i="3" s="1"/>
  <c r="C50" i="3"/>
  <c r="D50" i="3" s="1"/>
  <c r="C51" i="3"/>
  <c r="D51" i="3" s="1"/>
  <c r="B45" i="3"/>
  <c r="B46" i="3"/>
  <c r="B47" i="3"/>
  <c r="B48" i="3"/>
  <c r="B49" i="3"/>
  <c r="B50" i="3"/>
  <c r="B51" i="3"/>
  <c r="B44" i="3"/>
  <c r="F28" i="3"/>
  <c r="F29" i="3"/>
  <c r="F30" i="3"/>
  <c r="F31" i="3"/>
  <c r="F32" i="3"/>
  <c r="F33" i="3"/>
  <c r="F34" i="3"/>
  <c r="F35" i="3"/>
  <c r="F36" i="3"/>
  <c r="F37" i="3"/>
  <c r="F38" i="3"/>
  <c r="F27" i="3"/>
  <c r="E28" i="3"/>
  <c r="E29" i="3"/>
  <c r="E30" i="3"/>
  <c r="E31" i="3"/>
  <c r="E32" i="3"/>
  <c r="E33" i="3"/>
  <c r="E34" i="3"/>
  <c r="E35" i="3"/>
  <c r="E36" i="3"/>
  <c r="E37" i="3"/>
  <c r="E38" i="3"/>
  <c r="E27" i="3"/>
  <c r="D28" i="3"/>
  <c r="D29" i="3"/>
  <c r="D30" i="3"/>
  <c r="D31" i="3"/>
  <c r="D32" i="3"/>
  <c r="D33" i="3"/>
  <c r="D34" i="3"/>
  <c r="D35" i="3"/>
  <c r="D36" i="3"/>
  <c r="D37" i="3"/>
  <c r="D38" i="3"/>
  <c r="D27" i="3"/>
  <c r="C28" i="3"/>
  <c r="C29" i="3"/>
  <c r="C30" i="3"/>
  <c r="C31" i="3"/>
  <c r="C32" i="3"/>
  <c r="C33" i="3"/>
  <c r="C34" i="3"/>
  <c r="C35" i="3"/>
  <c r="C36" i="3"/>
  <c r="C37" i="3"/>
  <c r="C38" i="3"/>
  <c r="C27" i="3"/>
  <c r="B28" i="3"/>
  <c r="G28" i="3" s="1"/>
  <c r="B29" i="3"/>
  <c r="G29" i="3" s="1"/>
  <c r="B30" i="3"/>
  <c r="G30" i="3" s="1"/>
  <c r="B31" i="3"/>
  <c r="G31" i="3" s="1"/>
  <c r="B32" i="3"/>
  <c r="G32" i="3" s="1"/>
  <c r="B33" i="3"/>
  <c r="G33" i="3" s="1"/>
  <c r="B34" i="3"/>
  <c r="G34" i="3" s="1"/>
  <c r="B35" i="3"/>
  <c r="G35" i="3" s="1"/>
  <c r="B36" i="3"/>
  <c r="G36" i="3" s="1"/>
  <c r="B37" i="3"/>
  <c r="G37" i="3" s="1"/>
  <c r="B38" i="3"/>
  <c r="G38" i="3" s="1"/>
  <c r="B27" i="3"/>
  <c r="G27" i="3" s="1"/>
  <c r="B20" i="3"/>
  <c r="B16" i="3"/>
  <c r="H5" i="3"/>
  <c r="H4" i="3"/>
  <c r="H7" i="3"/>
  <c r="H6" i="3"/>
  <c r="H3" i="3"/>
  <c r="H8" i="3"/>
  <c r="I4" i="3"/>
  <c r="H1" i="3"/>
  <c r="H46" i="4" l="1"/>
  <c r="H48" i="4"/>
  <c r="H47" i="4"/>
  <c r="H10" i="3"/>
  <c r="H9" i="3"/>
</calcChain>
</file>

<file path=xl/sharedStrings.xml><?xml version="1.0" encoding="utf-8"?>
<sst xmlns="http://schemas.openxmlformats.org/spreadsheetml/2006/main" count="671" uniqueCount="269">
  <si>
    <t>Copilot in Excel</t>
  </si>
  <si>
    <t>Copilot is available for customers licensed with Microsoft 365 Premium, Microsoft 365 Personal, 
Microsoft 365 Family (Subscription owner only), Business Premium, and Business Standard.</t>
  </si>
  <si>
    <t>Click here to view subscription plans.</t>
  </si>
  <si>
    <t>Get started with Copilot prompts</t>
  </si>
  <si>
    <t>1. Make sure Agent Mode is turned on. In the Copilot chat pane, select the Tools menu           and choose Agent Mode. Agent mode will help you build your spreadsheet by bringing in data and creating charts and tables right in the grid.</t>
  </si>
  <si>
    <t>2. Copy one of the prompts below and open a new sheet.</t>
  </si>
  <si>
    <t>3. Paste your selected prompt into the Copilot chat pane.</t>
  </si>
  <si>
    <t xml:space="preserve">4. Click the green Send          button to submit your prompt. </t>
  </si>
  <si>
    <t xml:space="preserve">Build a meal planner </t>
  </si>
  <si>
    <r>
      <t xml:space="preserve">Prompt: </t>
    </r>
    <r>
      <rPr>
        <sz val="12"/>
        <color rgb="FF000000"/>
        <rFont val="Aptos"/>
        <family val="2"/>
        <scheme val="minor"/>
      </rPr>
      <t>Build a meal planner for my family. Ask me questions one by one about the size and nutritional needs of my family. Then, display the results in a clean table format with a grocery list and nutritional highlights for each day.</t>
    </r>
  </si>
  <si>
    <t>Create a budget</t>
  </si>
  <si>
    <r>
      <t xml:space="preserve">Prompt: </t>
    </r>
    <r>
      <rPr>
        <sz val="12"/>
        <color theme="1"/>
        <rFont val="Aptos"/>
        <family val="2"/>
        <scheme val="minor"/>
      </rPr>
      <t>Create a monthly budget for my household. First ask me questions about the number of people in my household and yearly income. Then, display the results in a clean table format.</t>
    </r>
  </si>
  <si>
    <t>Build a project tracker</t>
  </si>
  <si>
    <r>
      <t xml:space="preserve">Prompt: </t>
    </r>
    <r>
      <rPr>
        <sz val="12"/>
        <color theme="1"/>
        <rFont val="Aptos"/>
        <family val="2"/>
        <scheme val="minor"/>
      </rPr>
      <t>Help me set up a simple project tracker in this workbook. First, ask me questions one by one to ensure the project tracker is tailored to my needs. Then, display the results in a clean table format, using sample data if needed. Throughout, be brief and concise in your responses.</t>
    </r>
  </si>
  <si>
    <t xml:space="preserve">Track inventory </t>
  </si>
  <si>
    <r>
      <t xml:space="preserve">Prompt: </t>
    </r>
    <r>
      <rPr>
        <sz val="12"/>
        <color theme="1"/>
        <rFont val="Aptos"/>
        <family val="2"/>
        <scheme val="minor"/>
      </rPr>
      <t>Build an inventory tracker to monitor stock levels and item details. First, ask me questions one by one about the product and any key details. Then, suggest relevant columns and create a clear table with sample data to help me get started.</t>
    </r>
  </si>
  <si>
    <t>Other resources</t>
  </si>
  <si>
    <t>Head to the Microsoft Learning Center for tutorials on Copilot in Excel.</t>
  </si>
  <si>
    <t>Learn more about Agent Mode in Excel.</t>
  </si>
  <si>
    <t>january</t>
  </si>
  <si>
    <t>monday</t>
  </si>
  <si>
    <t>currencies</t>
  </si>
  <si>
    <t>february</t>
  </si>
  <si>
    <t>tuesday</t>
  </si>
  <si>
    <t>march</t>
  </si>
  <si>
    <t>wednesday</t>
  </si>
  <si>
    <t>april</t>
  </si>
  <si>
    <t>thursday</t>
  </si>
  <si>
    <t>may</t>
  </si>
  <si>
    <t>friday</t>
  </si>
  <si>
    <t>june</t>
  </si>
  <si>
    <t>saturday</t>
  </si>
  <si>
    <t>july</t>
  </si>
  <si>
    <t>sunday</t>
  </si>
  <si>
    <t>august</t>
  </si>
  <si>
    <t>september</t>
  </si>
  <si>
    <t>october</t>
  </si>
  <si>
    <t>november</t>
  </si>
  <si>
    <t>december</t>
  </si>
  <si>
    <t>items</t>
  </si>
  <si>
    <t>price</t>
  </si>
  <si>
    <t>dates</t>
  </si>
  <si>
    <t>regions</t>
  </si>
  <si>
    <t>sum,averages,min,max,product</t>
  </si>
  <si>
    <t>pet supplies</t>
  </si>
  <si>
    <t>east</t>
  </si>
  <si>
    <t>subtraction</t>
  </si>
  <si>
    <t>bass headphones</t>
  </si>
  <si>
    <t>soth</t>
  </si>
  <si>
    <t>product</t>
  </si>
  <si>
    <t>health &amp; wellness</t>
  </si>
  <si>
    <t>west</t>
  </si>
  <si>
    <t>min</t>
  </si>
  <si>
    <t>personal care</t>
  </si>
  <si>
    <t>max</t>
  </si>
  <si>
    <t>wrist watch</t>
  </si>
  <si>
    <t>north</t>
  </si>
  <si>
    <t>average</t>
  </si>
  <si>
    <t>perfumes</t>
  </si>
  <si>
    <t>jewellery</t>
  </si>
  <si>
    <t>total sum</t>
  </si>
  <si>
    <t>baby products</t>
  </si>
  <si>
    <t>count</t>
  </si>
  <si>
    <t xml:space="preserve">home decor </t>
  </si>
  <si>
    <t>south</t>
  </si>
  <si>
    <t>count blank</t>
  </si>
  <si>
    <t xml:space="preserve">smart watch </t>
  </si>
  <si>
    <t>kitchen ware</t>
  </si>
  <si>
    <t>mobile accesories</t>
  </si>
  <si>
    <t xml:space="preserve">beauty products </t>
  </si>
  <si>
    <t>function</t>
  </si>
  <si>
    <t>round</t>
  </si>
  <si>
    <t>round up</t>
  </si>
  <si>
    <t>round down</t>
  </si>
  <si>
    <t>mround</t>
  </si>
  <si>
    <t>Column1</t>
  </si>
  <si>
    <t>Column2</t>
  </si>
  <si>
    <t>Column3</t>
  </si>
  <si>
    <t>Column4</t>
  </si>
  <si>
    <t>Column5</t>
  </si>
  <si>
    <t>Column6</t>
  </si>
  <si>
    <t>Column7</t>
  </si>
  <si>
    <t>Column8</t>
  </si>
  <si>
    <t>text functions</t>
  </si>
  <si>
    <t>NAMES</t>
  </si>
  <si>
    <t>UPPER</t>
  </si>
  <si>
    <t>LOWER</t>
  </si>
  <si>
    <t>PROPER</t>
  </si>
  <si>
    <t>LEFT</t>
  </si>
  <si>
    <t>RIGHT</t>
  </si>
  <si>
    <t>MID</t>
  </si>
  <si>
    <t>Ashish Sharma</t>
  </si>
  <si>
    <t>Akash Narwar</t>
  </si>
  <si>
    <t>Ankit Narwar</t>
  </si>
  <si>
    <t>Kartik Gautum</t>
  </si>
  <si>
    <t>Hemant Helpline</t>
  </si>
  <si>
    <t>Mukul Bherupiya</t>
  </si>
  <si>
    <t>Aman Kapor</t>
  </si>
  <si>
    <t>Shivam Indoliya</t>
  </si>
  <si>
    <t>Gaurav Sisodiya</t>
  </si>
  <si>
    <t>Arjun</t>
  </si>
  <si>
    <t>Aryan</t>
  </si>
  <si>
    <t>Harshit Jadon</t>
  </si>
  <si>
    <t>LENGTH</t>
  </si>
  <si>
    <t>TRIM</t>
  </si>
  <si>
    <t>FIND</t>
  </si>
  <si>
    <t>SEARCH</t>
  </si>
  <si>
    <t>Ananya Pandey</t>
  </si>
  <si>
    <t>)</t>
  </si>
  <si>
    <t xml:space="preserve">  Aarohi   Sharma</t>
  </si>
  <si>
    <t>Mohini   Sharma</t>
  </si>
  <si>
    <t>Aashu     poonawala</t>
  </si>
  <si>
    <t>Rahul Singh   Sharma</t>
  </si>
  <si>
    <t xml:space="preserve">     Neil Armatong</t>
  </si>
  <si>
    <t>Tom Hardy</t>
  </si>
  <si>
    <t>Newton Kapoor</t>
  </si>
  <si>
    <t>SUBSTITUTE</t>
  </si>
  <si>
    <t>REPLACE</t>
  </si>
  <si>
    <t>selling price(revenue)</t>
  </si>
  <si>
    <t>cost price(expenses)</t>
  </si>
  <si>
    <t>profit(sp-cp)</t>
  </si>
  <si>
    <t>profit(sp-cp=function"imsub")</t>
  </si>
  <si>
    <t>profit(sp-cp(1000))</t>
  </si>
  <si>
    <t>profit/100</t>
  </si>
  <si>
    <t>jackets</t>
  </si>
  <si>
    <t>earbuds</t>
  </si>
  <si>
    <t>wrist wtch</t>
  </si>
  <si>
    <t>mobile</t>
  </si>
  <si>
    <t>total</t>
  </si>
  <si>
    <t>divide by</t>
  </si>
  <si>
    <t>cost price</t>
  </si>
  <si>
    <t>S.No</t>
  </si>
  <si>
    <t>student names</t>
  </si>
  <si>
    <t>science</t>
  </si>
  <si>
    <t>Mathematics</t>
  </si>
  <si>
    <t>Social studies</t>
  </si>
  <si>
    <t>Total marks</t>
  </si>
  <si>
    <t>Max Marks</t>
  </si>
  <si>
    <t>percentage</t>
  </si>
  <si>
    <t>percentage(data format)</t>
  </si>
  <si>
    <t>A</t>
  </si>
  <si>
    <t>absolute cell referencing</t>
  </si>
  <si>
    <t>B</t>
  </si>
  <si>
    <t>C</t>
  </si>
  <si>
    <t>D</t>
  </si>
  <si>
    <t>E</t>
  </si>
  <si>
    <t>F</t>
  </si>
  <si>
    <t>G</t>
  </si>
  <si>
    <t>H</t>
  </si>
  <si>
    <t>I</t>
  </si>
  <si>
    <t>J</t>
  </si>
  <si>
    <t>K</t>
  </si>
  <si>
    <t>L</t>
  </si>
  <si>
    <t>M</t>
  </si>
  <si>
    <t>N</t>
  </si>
  <si>
    <t>current date</t>
  </si>
  <si>
    <t>current time</t>
  </si>
  <si>
    <t>today</t>
  </si>
  <si>
    <t>now</t>
  </si>
  <si>
    <t>date</t>
  </si>
  <si>
    <t>Y</t>
  </si>
  <si>
    <t>DAY</t>
  </si>
  <si>
    <t>MONTH</t>
  </si>
  <si>
    <t>YEAR</t>
  </si>
  <si>
    <t xml:space="preserve">Start </t>
  </si>
  <si>
    <t>months</t>
  </si>
  <si>
    <t>day names</t>
  </si>
  <si>
    <t>dates to days</t>
  </si>
  <si>
    <t>start date</t>
  </si>
  <si>
    <t>end date</t>
  </si>
  <si>
    <t>without holidays</t>
  </si>
  <si>
    <t>with holidays</t>
  </si>
  <si>
    <t>networkdays</t>
  </si>
  <si>
    <t>networkdays.intl</t>
  </si>
  <si>
    <t xml:space="preserve">E  </t>
  </si>
  <si>
    <t>O</t>
  </si>
  <si>
    <t>P</t>
  </si>
  <si>
    <t>Q</t>
  </si>
  <si>
    <t>R</t>
  </si>
  <si>
    <t>S</t>
  </si>
  <si>
    <t>T</t>
  </si>
  <si>
    <t>U</t>
  </si>
  <si>
    <t>V</t>
  </si>
  <si>
    <t>W</t>
  </si>
  <si>
    <t>X</t>
  </si>
  <si>
    <t>Z</t>
  </si>
  <si>
    <t>ITEMS</t>
  </si>
  <si>
    <t>PRICES</t>
  </si>
  <si>
    <t>DATES</t>
  </si>
  <si>
    <t>REGIONS</t>
  </si>
  <si>
    <t>Beauty Products</t>
  </si>
  <si>
    <t>South</t>
  </si>
  <si>
    <t>Mobile Accesories</t>
  </si>
  <si>
    <t>East</t>
  </si>
  <si>
    <t>Home Decor</t>
  </si>
  <si>
    <t>Kitchen Ware</t>
  </si>
  <si>
    <t>West</t>
  </si>
  <si>
    <t>Baby Products</t>
  </si>
  <si>
    <t>North</t>
  </si>
  <si>
    <t>Jewellery</t>
  </si>
  <si>
    <t>Perfumes</t>
  </si>
  <si>
    <t>Personal Care</t>
  </si>
  <si>
    <t>3D LINE CHART</t>
  </si>
  <si>
    <t>Date</t>
  </si>
  <si>
    <t>Months</t>
  </si>
  <si>
    <t xml:space="preserve">Items </t>
  </si>
  <si>
    <t>Cost price</t>
  </si>
  <si>
    <t>Cost price2</t>
  </si>
  <si>
    <t>February</t>
  </si>
  <si>
    <t>Pens</t>
  </si>
  <si>
    <t>March</t>
  </si>
  <si>
    <t>Colors</t>
  </si>
  <si>
    <t>April</t>
  </si>
  <si>
    <t>Highlighters</t>
  </si>
  <si>
    <t>May</t>
  </si>
  <si>
    <t>Scales</t>
  </si>
  <si>
    <t>June</t>
  </si>
  <si>
    <t>Novies</t>
  </si>
  <si>
    <t>July</t>
  </si>
  <si>
    <t>Magzines</t>
  </si>
  <si>
    <t>January</t>
  </si>
  <si>
    <t>Pencils</t>
  </si>
  <si>
    <t xml:space="preserve">Region </t>
  </si>
  <si>
    <t xml:space="preserve">West </t>
  </si>
  <si>
    <t xml:space="preserve"> items </t>
  </si>
  <si>
    <t>Bass Headphones</t>
  </si>
  <si>
    <t>Footwear</t>
  </si>
  <si>
    <t xml:space="preserve">Mobile </t>
  </si>
  <si>
    <t>Smartwatch</t>
  </si>
  <si>
    <t>Beard trimmer</t>
  </si>
  <si>
    <t>Deodrant</t>
  </si>
  <si>
    <t>Shaving cream</t>
  </si>
  <si>
    <t>Wrist watch</t>
  </si>
  <si>
    <t xml:space="preserve"> price </t>
  </si>
  <si>
    <t xml:space="preserve"> date</t>
  </si>
  <si>
    <t>03-0102025</t>
  </si>
  <si>
    <t>Lookup values</t>
  </si>
  <si>
    <t>Price</t>
  </si>
  <si>
    <t>Mobile</t>
  </si>
  <si>
    <t>Bass Headphone</t>
  </si>
  <si>
    <t>Items</t>
  </si>
  <si>
    <t>Region</t>
  </si>
  <si>
    <t>Earbuds</t>
  </si>
  <si>
    <t>price, using only the array</t>
  </si>
  <si>
    <t>incorrect</t>
  </si>
  <si>
    <t>Shaving creams</t>
  </si>
  <si>
    <t>Jacket</t>
  </si>
  <si>
    <t>price, with lookup and result vectors</t>
  </si>
  <si>
    <t>region with lookup and result vectors</t>
  </si>
  <si>
    <t xml:space="preserve">date using </t>
  </si>
  <si>
    <t>Sum of Sales</t>
  </si>
  <si>
    <t>Grand Total</t>
  </si>
  <si>
    <t>Product</t>
  </si>
  <si>
    <t>Sales</t>
  </si>
  <si>
    <t>Quantity</t>
  </si>
  <si>
    <t>Mangoes</t>
  </si>
  <si>
    <t>Oranges</t>
  </si>
  <si>
    <t>Apples</t>
  </si>
  <si>
    <t>Ans 2</t>
  </si>
  <si>
    <t>ANSWER 4</t>
  </si>
  <si>
    <t>decending sort</t>
  </si>
  <si>
    <t>filtering</t>
  </si>
  <si>
    <t>Answer 3</t>
  </si>
  <si>
    <t>Date2</t>
  </si>
  <si>
    <t>Region3</t>
  </si>
  <si>
    <t>Product4</t>
  </si>
  <si>
    <t>Sales5</t>
  </si>
  <si>
    <t>Quantity6</t>
  </si>
  <si>
    <t>answer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</si>
</sst>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409]* #,##0.00_ ;_-[$$-409]* \-#,##0.00\ ;_-[$$-409]* &quot;-&quot;??_ ;_-@_ "/>
    <numFmt numFmtId="165" formatCode="[$-14009]dddd\,\ d\ mmmm\,\ yyyy;@"/>
    <numFmt numFmtId="166" formatCode="_-[$$-409]* #,##0_ ;_-[$$-409]* \-#,##0\ ;_-[$$-409]* &quot;-&quot;??_ ;_-@_ "/>
    <numFmt numFmtId="167" formatCode="_ [$₹-4009]\ * #,##0.00_ ;_ [$₹-4009]\ * \-#,##0.00_ ;_ [$₹-4009]\ * &quot;-&quot;??_ ;_ @_ "/>
    <numFmt numFmtId="168" formatCode="&quot;₹&quot;\ #,##0.00"/>
  </numFmts>
  <fonts count="24">
    <font>
      <sz val="11"/>
      <color theme="1"/>
      <name val="Aptos"/>
      <family val="2"/>
      <scheme val="minor"/>
    </font>
    <font>
      <sz val="11"/>
      <color theme="1"/>
      <name val="Aptos"/>
      <family val="2"/>
    </font>
    <font>
      <sz val="11"/>
      <color rgb="FF000000"/>
      <name val="Aptos"/>
      <family val="2"/>
    </font>
    <font>
      <u/>
      <sz val="11"/>
      <color theme="10"/>
      <name val="Aptos"/>
      <family val="2"/>
      <scheme val="minor"/>
    </font>
    <font>
      <sz val="11"/>
      <color theme="0"/>
      <name val="Aptos"/>
      <family val="2"/>
      <scheme val="minor"/>
    </font>
    <font>
      <u/>
      <sz val="11"/>
      <color theme="0"/>
      <name val="Aptos"/>
      <family val="2"/>
      <scheme val="minor"/>
    </font>
    <font>
      <sz val="12"/>
      <color theme="1"/>
      <name val="Aptos"/>
      <family val="2"/>
      <scheme val="minor"/>
    </font>
    <font>
      <b/>
      <sz val="11"/>
      <color theme="1"/>
      <name val="Aptos"/>
      <family val="2"/>
      <scheme val="minor"/>
    </font>
    <font>
      <sz val="16"/>
      <color theme="0"/>
      <name val="Aptos Narrow"/>
      <family val="2"/>
      <scheme val="major"/>
    </font>
    <font>
      <sz val="60"/>
      <color theme="0"/>
      <name val="Aptos Narrow"/>
      <family val="2"/>
      <scheme val="major"/>
    </font>
    <font>
      <u/>
      <sz val="12"/>
      <color theme="0"/>
      <name val="Aptos Narrow"/>
      <family val="2"/>
      <scheme val="major"/>
    </font>
    <font>
      <b/>
      <sz val="16"/>
      <color rgb="FF217346"/>
      <name val="Aptos"/>
      <family val="2"/>
      <scheme val="minor"/>
    </font>
    <font>
      <b/>
      <sz val="12"/>
      <color rgb="FF000000"/>
      <name val="Aptos"/>
      <family val="2"/>
      <scheme val="minor"/>
    </font>
    <font>
      <sz val="12"/>
      <color rgb="FF000000"/>
      <name val="Aptos"/>
      <family val="2"/>
      <scheme val="minor"/>
    </font>
    <font>
      <b/>
      <sz val="12"/>
      <color theme="1"/>
      <name val="Aptos"/>
      <family val="2"/>
      <scheme val="minor"/>
    </font>
    <font>
      <u/>
      <sz val="12"/>
      <color theme="10"/>
      <name val="Aptos Narrow"/>
      <family val="2"/>
      <scheme val="major"/>
    </font>
    <font>
      <sz val="11"/>
      <color theme="1"/>
      <name val="Book Antiqua"/>
    </font>
    <font>
      <sz val="11"/>
      <color theme="1"/>
      <name val="Batang"/>
    </font>
    <font>
      <b/>
      <sz val="11"/>
      <color theme="1"/>
      <name val="Batang"/>
    </font>
    <font>
      <b/>
      <sz val="11"/>
      <color rgb="FFFF0000"/>
      <name val="Aptos"/>
      <family val="2"/>
      <scheme val="minor"/>
    </font>
    <font>
      <sz val="11"/>
      <color rgb="FFFF0000"/>
      <name val="Aptos"/>
      <family val="2"/>
      <scheme val="minor"/>
    </font>
    <font>
      <b/>
      <sz val="11"/>
      <color theme="0"/>
      <name val="Aptos"/>
      <family val="2"/>
      <scheme val="minor"/>
    </font>
    <font>
      <b/>
      <sz val="11"/>
      <color theme="1"/>
      <name val="Calibri"/>
      <charset val="1"/>
    </font>
    <font>
      <sz val="11"/>
      <color theme="1"/>
      <name val="Calibri"/>
      <charset val="1"/>
    </font>
  </fonts>
  <fills count="25">
    <fill>
      <patternFill patternType="none"/>
    </fill>
    <fill>
      <patternFill patternType="gray125"/>
    </fill>
    <fill>
      <patternFill patternType="solid">
        <fgColor theme="0"/>
        <bgColor indexed="64"/>
      </patternFill>
    </fill>
    <fill>
      <patternFill patternType="solid">
        <fgColor rgb="FF217346"/>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8"/>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theme="8" tint="0.59999389629810485"/>
        <bgColor indexed="64"/>
      </patternFill>
    </fill>
    <fill>
      <patternFill patternType="solid">
        <fgColor rgb="FFFF0000"/>
        <bgColor indexed="64"/>
      </patternFill>
    </fill>
    <fill>
      <patternFill patternType="solid">
        <fgColor theme="6" tint="0.39997558519241921"/>
        <bgColor indexed="64"/>
      </patternFill>
    </fill>
    <fill>
      <patternFill patternType="solid">
        <fgColor theme="6"/>
        <bgColor indexed="64"/>
      </patternFill>
    </fill>
    <fill>
      <patternFill patternType="solid">
        <fgColor theme="5" tint="-0.49998474074526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1"/>
        <bgColor theme="1"/>
      </patternFill>
    </fill>
    <fill>
      <patternFill patternType="solid">
        <fgColor theme="3" tint="0.249977111117893"/>
        <bgColor indexed="64"/>
      </patternFill>
    </fill>
    <fill>
      <patternFill patternType="solid">
        <fgColor rgb="FFFFC000"/>
        <bgColor indexed="64"/>
      </patternFill>
    </fill>
    <fill>
      <patternFill patternType="solid">
        <fgColor theme="7"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00B050"/>
        <bgColor indexed="64"/>
      </patternFill>
    </fill>
  </fills>
  <borders count="37">
    <border>
      <left/>
      <right/>
      <top/>
      <bottom/>
      <diagonal/>
    </border>
    <border>
      <left/>
      <right/>
      <top/>
      <bottom style="thin">
        <color theme="0"/>
      </bottom>
      <diagonal/>
    </border>
    <border>
      <left style="thin">
        <color rgb="FF217346"/>
      </left>
      <right/>
      <top style="thin">
        <color rgb="FF217346"/>
      </top>
      <bottom/>
      <diagonal/>
    </border>
    <border>
      <left/>
      <right/>
      <top style="thin">
        <color rgb="FF217346"/>
      </top>
      <bottom/>
      <diagonal/>
    </border>
    <border>
      <left style="thin">
        <color rgb="FF217346"/>
      </left>
      <right/>
      <top/>
      <bottom/>
      <diagonal/>
    </border>
    <border>
      <left style="thin">
        <color rgb="FF217346"/>
      </left>
      <right/>
      <top/>
      <bottom style="thin">
        <color rgb="FF217346"/>
      </bottom>
      <diagonal/>
    </border>
    <border>
      <left/>
      <right/>
      <top/>
      <bottom style="thin">
        <color rgb="FF217346"/>
      </bottom>
      <diagonal/>
    </border>
    <border>
      <left/>
      <right/>
      <top/>
      <bottom style="medium">
        <color theme="0" tint="-0.249977111117893"/>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theme="1"/>
      </left>
      <right/>
      <top style="thin">
        <color theme="1"/>
      </top>
      <bottom/>
      <diagonal/>
    </border>
    <border>
      <left style="thin">
        <color theme="1"/>
      </left>
      <right/>
      <top style="thin">
        <color theme="1"/>
      </top>
      <bottom style="thin">
        <color theme="1"/>
      </bottom>
      <diagonal/>
    </border>
    <border>
      <left/>
      <right style="thin">
        <color theme="1"/>
      </right>
      <top style="thin">
        <color theme="1"/>
      </top>
      <bottom/>
      <diagonal/>
    </border>
    <border>
      <left/>
      <right style="thin">
        <color theme="1"/>
      </right>
      <top style="thin">
        <color theme="1"/>
      </top>
      <bottom style="thin">
        <color theme="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CCCCCC"/>
      </right>
      <top style="thin">
        <color rgb="FFCCCCCC"/>
      </top>
      <bottom style="thin">
        <color rgb="FFCCCCCC"/>
      </bottom>
      <diagonal/>
    </border>
    <border>
      <left/>
      <right style="thin">
        <color rgb="FFCCCCCC"/>
      </right>
      <top style="thin">
        <color rgb="FFCCCCCC"/>
      </top>
      <bottom style="thin">
        <color rgb="FF000000"/>
      </bottom>
      <diagonal/>
    </border>
    <border>
      <left style="thin">
        <color rgb="FFCCCCCC"/>
      </left>
      <right/>
      <top style="thin">
        <color rgb="FF000000"/>
      </top>
      <bottom style="thin">
        <color rgb="FF000000"/>
      </bottom>
      <diagonal/>
    </border>
    <border>
      <left style="thin">
        <color rgb="FFCCCCCC"/>
      </left>
      <right/>
      <top style="thin">
        <color rgb="FFCCCCCC"/>
      </top>
      <bottom style="thin">
        <color rgb="FFCCCCCC"/>
      </bottom>
      <diagonal/>
    </border>
    <border>
      <left style="thin">
        <color rgb="FFCCCCCC"/>
      </left>
      <right/>
      <top style="thin">
        <color rgb="FFCCCCCC"/>
      </top>
      <bottom style="thin">
        <color rgb="FF000000"/>
      </bottom>
      <diagonal/>
    </border>
    <border>
      <left/>
      <right/>
      <top style="thin">
        <color rgb="FFCCCCCC"/>
      </top>
      <bottom style="thin">
        <color rgb="FFCCCCCC"/>
      </bottom>
      <diagonal/>
    </border>
    <border>
      <left/>
      <right/>
      <top style="thin">
        <color rgb="FFCCCCCC"/>
      </top>
      <bottom style="thin">
        <color rgb="FF000000"/>
      </bottom>
      <diagonal/>
    </border>
  </borders>
  <cellStyleXfs count="2">
    <xf numFmtId="0" fontId="0" fillId="0" borderId="0"/>
    <xf numFmtId="0" fontId="3" fillId="0" borderId="0" applyNumberFormat="0" applyFill="0" applyBorder="0" applyAlignment="0" applyProtection="0"/>
  </cellStyleXfs>
  <cellXfs count="147">
    <xf numFmtId="0" fontId="0" fillId="0" borderId="0" xfId="0"/>
    <xf numFmtId="0" fontId="3" fillId="2" borderId="0" xfId="1" applyFill="1" applyBorder="1" applyAlignment="1">
      <alignment vertical="center" wrapText="1"/>
    </xf>
    <xf numFmtId="0" fontId="0" fillId="2" borderId="0" xfId="0" applyFill="1" applyAlignment="1">
      <alignment wrapText="1"/>
    </xf>
    <xf numFmtId="0" fontId="1" fillId="0" borderId="0" xfId="0" applyFont="1" applyAlignment="1">
      <alignment horizontal="left" vertical="center" indent="6"/>
    </xf>
    <xf numFmtId="0" fontId="2" fillId="0" borderId="0" xfId="0" applyFont="1" applyAlignment="1">
      <alignment horizontal="left" vertical="center" indent="6"/>
    </xf>
    <xf numFmtId="0" fontId="0" fillId="2" borderId="1" xfId="0" applyFill="1" applyBorder="1"/>
    <xf numFmtId="0" fontId="0" fillId="3" borderId="4" xfId="0" applyFill="1" applyBorder="1"/>
    <xf numFmtId="0" fontId="0" fillId="3" borderId="5" xfId="0" applyFill="1" applyBorder="1"/>
    <xf numFmtId="0" fontId="5" fillId="3" borderId="6" xfId="1" applyFont="1" applyFill="1" applyBorder="1" applyAlignment="1">
      <alignment wrapText="1"/>
    </xf>
    <xf numFmtId="0" fontId="0" fillId="0" borderId="0" xfId="0" applyAlignment="1">
      <alignment vertical="top"/>
    </xf>
    <xf numFmtId="0" fontId="6" fillId="3" borderId="4" xfId="0" applyFont="1" applyFill="1" applyBorder="1"/>
    <xf numFmtId="0" fontId="0" fillId="2" borderId="7" xfId="0" applyFill="1" applyBorder="1" applyAlignment="1">
      <alignment vertical="center" wrapText="1"/>
    </xf>
    <xf numFmtId="0" fontId="1" fillId="2" borderId="7" xfId="0" applyFont="1" applyFill="1" applyBorder="1" applyAlignment="1">
      <alignment vertical="center" wrapText="1"/>
    </xf>
    <xf numFmtId="0" fontId="4" fillId="4" borderId="0" xfId="0" applyFont="1" applyFill="1"/>
    <xf numFmtId="0" fontId="8" fillId="3" borderId="0" xfId="0" applyFont="1" applyFill="1" applyAlignment="1">
      <alignment wrapText="1"/>
    </xf>
    <xf numFmtId="0" fontId="10" fillId="3" borderId="0" xfId="1" applyFont="1" applyFill="1" applyBorder="1" applyAlignment="1">
      <alignment wrapText="1"/>
    </xf>
    <xf numFmtId="0" fontId="11" fillId="2" borderId="0" xfId="0" applyFont="1" applyFill="1" applyAlignment="1">
      <alignment vertical="top" wrapText="1"/>
    </xf>
    <xf numFmtId="0" fontId="6" fillId="2" borderId="0" xfId="0" applyFont="1" applyFill="1" applyAlignment="1">
      <alignment horizontal="left" vertical="top" wrapText="1"/>
    </xf>
    <xf numFmtId="0" fontId="6" fillId="2" borderId="0" xfId="0" applyFont="1" applyFill="1" applyAlignment="1">
      <alignment horizontal="left" wrapText="1"/>
    </xf>
    <xf numFmtId="0" fontId="12" fillId="2" borderId="0" xfId="0" applyFont="1" applyFill="1" applyAlignment="1">
      <alignment vertical="center" wrapText="1"/>
    </xf>
    <xf numFmtId="0" fontId="7" fillId="2" borderId="0" xfId="0" applyFont="1" applyFill="1" applyAlignment="1">
      <alignment vertical="center" wrapText="1"/>
    </xf>
    <xf numFmtId="0" fontId="14" fillId="2" borderId="0" xfId="0" applyFont="1" applyFill="1" applyAlignment="1">
      <alignment vertical="center" wrapText="1"/>
    </xf>
    <xf numFmtId="0" fontId="15" fillId="2" borderId="0" xfId="1" applyFont="1" applyFill="1" applyBorder="1"/>
    <xf numFmtId="0" fontId="0" fillId="0" borderId="0" xfId="0" applyAlignment="1"/>
    <xf numFmtId="0" fontId="16" fillId="0" borderId="0" xfId="0" applyFont="1" applyAlignment="1"/>
    <xf numFmtId="0" fontId="17" fillId="0" borderId="0" xfId="0" applyFont="1" applyAlignment="1">
      <alignment horizontal="center" wrapText="1"/>
    </xf>
    <xf numFmtId="0" fontId="17" fillId="0" borderId="0" xfId="0" applyFont="1" applyAlignment="1">
      <alignment horizontal="center"/>
    </xf>
    <xf numFmtId="14" fontId="17" fillId="0" borderId="0" xfId="0" applyNumberFormat="1" applyFont="1" applyAlignment="1"/>
    <xf numFmtId="0" fontId="17" fillId="0" borderId="0" xfId="0" applyFont="1" applyAlignment="1"/>
    <xf numFmtId="0" fontId="17" fillId="0" borderId="9" xfId="0" applyFont="1" applyBorder="1" applyAlignment="1"/>
    <xf numFmtId="0" fontId="18" fillId="0" borderId="0" xfId="0" applyFont="1" applyAlignment="1"/>
    <xf numFmtId="164" fontId="17" fillId="0" borderId="8" xfId="0" applyNumberFormat="1" applyFont="1" applyBorder="1" applyAlignment="1">
      <alignment horizontal="center"/>
    </xf>
    <xf numFmtId="164" fontId="17" fillId="0" borderId="8" xfId="0" applyNumberFormat="1" applyFont="1" applyBorder="1" applyAlignment="1"/>
    <xf numFmtId="15" fontId="0" fillId="0" borderId="0" xfId="0" applyNumberFormat="1"/>
    <xf numFmtId="0" fontId="0" fillId="0" borderId="0" xfId="0" applyAlignment="1">
      <alignment wrapText="1"/>
    </xf>
    <xf numFmtId="0" fontId="0" fillId="5" borderId="0" xfId="0" applyFill="1"/>
    <xf numFmtId="0" fontId="0" fillId="6" borderId="0" xfId="0" applyFill="1" applyAlignment="1">
      <alignment wrapText="1"/>
    </xf>
    <xf numFmtId="0" fontId="0" fillId="6" borderId="0" xfId="0" applyFill="1"/>
    <xf numFmtId="15" fontId="0" fillId="6" borderId="0" xfId="0" applyNumberFormat="1" applyFill="1" applyAlignment="1">
      <alignment wrapText="1"/>
    </xf>
    <xf numFmtId="0" fontId="0" fillId="7" borderId="0" xfId="0" applyFill="1"/>
    <xf numFmtId="0" fontId="7" fillId="0" borderId="0" xfId="0" applyFont="1"/>
    <xf numFmtId="0" fontId="7" fillId="8" borderId="0" xfId="0" applyFont="1" applyFill="1"/>
    <xf numFmtId="0" fontId="7" fillId="9" borderId="0" xfId="0" applyFont="1" applyFill="1"/>
    <xf numFmtId="0" fontId="19" fillId="9" borderId="0" xfId="0" applyFont="1" applyFill="1"/>
    <xf numFmtId="0" fontId="20" fillId="0" borderId="10" xfId="0" applyFont="1" applyBorder="1"/>
    <xf numFmtId="0" fontId="20" fillId="0" borderId="0" xfId="0" applyFont="1"/>
    <xf numFmtId="0" fontId="20" fillId="0" borderId="11" xfId="0" applyFont="1" applyBorder="1"/>
    <xf numFmtId="0" fontId="20" fillId="0" borderId="0" xfId="0" applyFont="1" applyAlignment="1">
      <alignment wrapText="1"/>
    </xf>
    <xf numFmtId="0" fontId="0" fillId="10" borderId="0" xfId="0" applyFill="1"/>
    <xf numFmtId="0" fontId="7" fillId="6" borderId="0" xfId="0" applyFont="1" applyFill="1"/>
    <xf numFmtId="0" fontId="20" fillId="11" borderId="0" xfId="0" applyFont="1" applyFill="1"/>
    <xf numFmtId="0" fontId="0" fillId="12" borderId="0" xfId="0" applyFill="1"/>
    <xf numFmtId="0" fontId="7" fillId="12" borderId="0" xfId="0" applyFont="1" applyFill="1"/>
    <xf numFmtId="0" fontId="0" fillId="5" borderId="0" xfId="0" applyFill="1" applyAlignment="1">
      <alignment wrapText="1"/>
    </xf>
    <xf numFmtId="10" fontId="0" fillId="0" borderId="0" xfId="0" applyNumberFormat="1"/>
    <xf numFmtId="9" fontId="0" fillId="0" borderId="0" xfId="0" applyNumberFormat="1"/>
    <xf numFmtId="0" fontId="0" fillId="0" borderId="0" xfId="0" applyNumberFormat="1"/>
    <xf numFmtId="0" fontId="0" fillId="10" borderId="0" xfId="0" applyFill="1" applyAlignment="1">
      <alignment vertical="center"/>
    </xf>
    <xf numFmtId="0" fontId="0" fillId="10" borderId="0" xfId="0" applyFill="1" applyAlignment="1">
      <alignment horizontal="center" vertical="center" wrapText="1"/>
    </xf>
    <xf numFmtId="14" fontId="0" fillId="0" borderId="0" xfId="0" applyNumberFormat="1"/>
    <xf numFmtId="22" fontId="0" fillId="0" borderId="0" xfId="0" applyNumberFormat="1"/>
    <xf numFmtId="20" fontId="0" fillId="0" borderId="0" xfId="0" applyNumberFormat="1"/>
    <xf numFmtId="0" fontId="7" fillId="13" borderId="0" xfId="0" applyFont="1" applyFill="1"/>
    <xf numFmtId="0" fontId="0" fillId="13" borderId="0" xfId="0" applyFill="1"/>
    <xf numFmtId="2" fontId="0" fillId="0" borderId="0" xfId="0" applyNumberFormat="1"/>
    <xf numFmtId="2" fontId="0" fillId="10" borderId="0" xfId="0" applyNumberFormat="1" applyFill="1" applyAlignment="1">
      <alignment vertical="center"/>
    </xf>
    <xf numFmtId="2" fontId="0" fillId="11" borderId="0" xfId="0" applyNumberFormat="1" applyFill="1"/>
    <xf numFmtId="2" fontId="0" fillId="12" borderId="0" xfId="0" applyNumberFormat="1" applyFill="1"/>
    <xf numFmtId="2" fontId="0" fillId="5" borderId="0" xfId="0" applyNumberFormat="1" applyFill="1"/>
    <xf numFmtId="2" fontId="7" fillId="6" borderId="0" xfId="0" applyNumberFormat="1" applyFont="1" applyFill="1"/>
    <xf numFmtId="2" fontId="0" fillId="0" borderId="0" xfId="0" applyNumberFormat="1" applyAlignment="1">
      <alignment wrapText="1"/>
    </xf>
    <xf numFmtId="165" fontId="0" fillId="0" borderId="0" xfId="0" applyNumberFormat="1"/>
    <xf numFmtId="0" fontId="7" fillId="15" borderId="0" xfId="0" applyFont="1" applyFill="1"/>
    <xf numFmtId="0" fontId="7" fillId="16" borderId="0" xfId="0" applyFont="1" applyFill="1"/>
    <xf numFmtId="0" fontId="0" fillId="5" borderId="0" xfId="0" applyFill="1" applyAlignment="1">
      <alignment horizontal="center" vertical="center"/>
    </xf>
    <xf numFmtId="0" fontId="0" fillId="5" borderId="0" xfId="0" applyFill="1" applyAlignment="1">
      <alignment horizontal="center" vertical="center" wrapText="1"/>
    </xf>
    <xf numFmtId="0" fontId="6" fillId="0" borderId="0" xfId="0" applyFont="1"/>
    <xf numFmtId="0" fontId="0" fillId="5" borderId="0" xfId="0" applyFont="1" applyFill="1"/>
    <xf numFmtId="166" fontId="0" fillId="0" borderId="0" xfId="0" applyNumberFormat="1"/>
    <xf numFmtId="167" fontId="0" fillId="0" borderId="0" xfId="0" applyNumberFormat="1"/>
    <xf numFmtId="0" fontId="21" fillId="17" borderId="12" xfId="0" applyFont="1" applyFill="1" applyBorder="1"/>
    <xf numFmtId="167" fontId="0" fillId="0" borderId="12" xfId="0" applyNumberFormat="1" applyFont="1" applyBorder="1"/>
    <xf numFmtId="167" fontId="0" fillId="0" borderId="13" xfId="0" applyNumberFormat="1" applyFont="1" applyBorder="1"/>
    <xf numFmtId="167" fontId="0" fillId="0" borderId="0" xfId="0" applyNumberFormat="1" applyFont="1" applyBorder="1"/>
    <xf numFmtId="168" fontId="0" fillId="0" borderId="0" xfId="0" applyNumberFormat="1"/>
    <xf numFmtId="0" fontId="0" fillId="19" borderId="14" xfId="0" applyFill="1" applyBorder="1"/>
    <xf numFmtId="0" fontId="0" fillId="19" borderId="15" xfId="0" applyFill="1" applyBorder="1"/>
    <xf numFmtId="0" fontId="0" fillId="19" borderId="16" xfId="0" applyFill="1" applyBorder="1"/>
    <xf numFmtId="0" fontId="0" fillId="19" borderId="17" xfId="0" applyFill="1" applyBorder="1"/>
    <xf numFmtId="0" fontId="0" fillId="19" borderId="0" xfId="0" applyFill="1" applyBorder="1"/>
    <xf numFmtId="0" fontId="0" fillId="19" borderId="0" xfId="0" applyFill="1" applyBorder="1" applyAlignment="1">
      <alignment wrapText="1"/>
    </xf>
    <xf numFmtId="0" fontId="0" fillId="19" borderId="18" xfId="0" applyFill="1" applyBorder="1" applyAlignment="1">
      <alignment wrapText="1"/>
    </xf>
    <xf numFmtId="168" fontId="0" fillId="19" borderId="17" xfId="0" applyNumberFormat="1" applyFill="1" applyBorder="1"/>
    <xf numFmtId="168" fontId="0" fillId="19" borderId="0" xfId="0" applyNumberFormat="1" applyFill="1" applyBorder="1"/>
    <xf numFmtId="168" fontId="0" fillId="19" borderId="18" xfId="0" applyNumberFormat="1" applyFill="1" applyBorder="1"/>
    <xf numFmtId="14" fontId="0" fillId="19" borderId="19" xfId="0" applyNumberFormat="1" applyFill="1" applyBorder="1"/>
    <xf numFmtId="14" fontId="0" fillId="19" borderId="20" xfId="0" applyNumberFormat="1" applyFill="1" applyBorder="1"/>
    <xf numFmtId="0" fontId="0" fillId="19" borderId="20" xfId="0" applyFill="1" applyBorder="1"/>
    <xf numFmtId="14" fontId="0" fillId="19" borderId="21" xfId="0" applyNumberFormat="1" applyFill="1" applyBorder="1"/>
    <xf numFmtId="0" fontId="0" fillId="12" borderId="8" xfId="0" applyFill="1" applyBorder="1"/>
    <xf numFmtId="0" fontId="0" fillId="0" borderId="8" xfId="0" applyBorder="1"/>
    <xf numFmtId="0" fontId="7" fillId="18" borderId="14" xfId="0" applyFont="1" applyFill="1" applyBorder="1" applyAlignment="1">
      <alignment vertical="center" wrapText="1"/>
    </xf>
    <xf numFmtId="0" fontId="0" fillId="0" borderId="8" xfId="0" applyBorder="1" applyAlignment="1">
      <alignment wrapText="1"/>
    </xf>
    <xf numFmtId="0" fontId="0" fillId="20" borderId="22" xfId="0" applyFill="1" applyBorder="1"/>
    <xf numFmtId="0" fontId="7" fillId="21" borderId="8" xfId="0" applyFont="1" applyFill="1" applyBorder="1"/>
    <xf numFmtId="0" fontId="0" fillId="7" borderId="8" xfId="0" applyFill="1" applyBorder="1"/>
    <xf numFmtId="168" fontId="0" fillId="7" borderId="8" xfId="0" applyNumberFormat="1" applyFill="1" applyBorder="1"/>
    <xf numFmtId="14" fontId="0" fillId="7" borderId="8" xfId="0" applyNumberFormat="1" applyFill="1" applyBorder="1"/>
    <xf numFmtId="0" fontId="7" fillId="21" borderId="22" xfId="0" applyFont="1" applyFill="1" applyBorder="1"/>
    <xf numFmtId="0" fontId="0" fillId="7" borderId="22" xfId="0" applyFill="1" applyBorder="1"/>
    <xf numFmtId="0" fontId="0" fillId="7" borderId="0" xfId="0" applyFill="1" applyBorder="1"/>
    <xf numFmtId="0" fontId="0" fillId="15" borderId="8" xfId="0" applyFill="1" applyBorder="1"/>
    <xf numFmtId="0" fontId="0" fillId="5" borderId="8" xfId="0" applyFill="1" applyBorder="1"/>
    <xf numFmtId="0" fontId="0" fillId="5" borderId="8" xfId="0" applyFill="1" applyBorder="1" applyAlignment="1">
      <alignment wrapText="1"/>
    </xf>
    <xf numFmtId="0" fontId="0" fillId="22" borderId="0" xfId="0" applyFill="1"/>
    <xf numFmtId="0" fontId="7" fillId="23" borderId="8" xfId="0" applyFont="1" applyFill="1" applyBorder="1"/>
    <xf numFmtId="0" fontId="0" fillId="23" borderId="8" xfId="0" applyFill="1" applyBorder="1"/>
    <xf numFmtId="168" fontId="0" fillId="23" borderId="8" xfId="0" applyNumberFormat="1" applyFill="1" applyBorder="1"/>
    <xf numFmtId="0" fontId="0" fillId="19" borderId="8" xfId="0" applyFill="1" applyBorder="1" applyAlignment="1">
      <alignment wrapText="1"/>
    </xf>
    <xf numFmtId="0" fontId="0" fillId="19" borderId="8" xfId="0" applyFill="1" applyBorder="1" applyAlignment="1">
      <alignment vertical="top" wrapText="1"/>
    </xf>
    <xf numFmtId="0" fontId="0" fillId="19" borderId="8" xfId="0" applyFill="1" applyBorder="1"/>
    <xf numFmtId="0" fontId="0" fillId="0" borderId="0" xfId="0" applyBorder="1"/>
    <xf numFmtId="0" fontId="7" fillId="24" borderId="8" xfId="0" applyFont="1" applyFill="1" applyBorder="1"/>
    <xf numFmtId="0" fontId="22" fillId="0" borderId="8" xfId="0" applyFont="1" applyBorder="1" applyAlignment="1">
      <alignment readingOrder="1"/>
    </xf>
    <xf numFmtId="0" fontId="22" fillId="0" borderId="23" xfId="0" applyFont="1" applyBorder="1" applyAlignment="1">
      <alignment readingOrder="1"/>
    </xf>
    <xf numFmtId="22" fontId="23" fillId="0" borderId="24" xfId="0" applyNumberFormat="1" applyFont="1" applyBorder="1" applyAlignment="1">
      <alignment readingOrder="1"/>
    </xf>
    <xf numFmtId="0" fontId="23" fillId="0" borderId="25" xfId="0" applyFont="1" applyBorder="1" applyAlignment="1">
      <alignment readingOrder="1"/>
    </xf>
    <xf numFmtId="0" fontId="23" fillId="0" borderId="26" xfId="0" applyFont="1" applyBorder="1" applyAlignment="1">
      <alignment readingOrder="1"/>
    </xf>
    <xf numFmtId="22" fontId="23" fillId="0" borderId="27" xfId="0" applyNumberFormat="1" applyFont="1" applyBorder="1" applyAlignment="1">
      <alignment readingOrder="1"/>
    </xf>
    <xf numFmtId="0" fontId="23" fillId="0" borderId="28" xfId="0" applyFont="1" applyBorder="1" applyAlignment="1">
      <alignment readingOrder="1"/>
    </xf>
    <xf numFmtId="0" fontId="23" fillId="0" borderId="29" xfId="0" applyFont="1" applyBorder="1" applyAlignment="1">
      <alignment readingOrder="1"/>
    </xf>
    <xf numFmtId="0" fontId="0" fillId="0" borderId="0" xfId="0" pivotButton="1"/>
    <xf numFmtId="0" fontId="22" fillId="0" borderId="22" xfId="0" applyFont="1" applyBorder="1" applyAlignment="1">
      <alignment readingOrder="1"/>
    </xf>
    <xf numFmtId="22" fontId="23" fillId="0" borderId="30" xfId="0" applyNumberFormat="1" applyFont="1" applyBorder="1" applyAlignment="1">
      <alignment readingOrder="1"/>
    </xf>
    <xf numFmtId="22" fontId="23" fillId="0" borderId="31" xfId="0" applyNumberFormat="1" applyFont="1" applyBorder="1" applyAlignment="1">
      <alignment readingOrder="1"/>
    </xf>
    <xf numFmtId="0" fontId="22" fillId="0" borderId="32" xfId="0" applyFont="1" applyBorder="1" applyAlignment="1">
      <alignment readingOrder="1"/>
    </xf>
    <xf numFmtId="0" fontId="23" fillId="0" borderId="33" xfId="0" applyFont="1" applyBorder="1" applyAlignment="1">
      <alignment readingOrder="1"/>
    </xf>
    <xf numFmtId="0" fontId="23" fillId="0" borderId="34" xfId="0" applyFont="1" applyBorder="1" applyAlignment="1">
      <alignment readingOrder="1"/>
    </xf>
    <xf numFmtId="0" fontId="23" fillId="0" borderId="35" xfId="0" applyFont="1" applyBorder="1" applyAlignment="1">
      <alignment readingOrder="1"/>
    </xf>
    <xf numFmtId="0" fontId="23" fillId="0" borderId="36" xfId="0" applyFont="1" applyBorder="1" applyAlignment="1">
      <alignment readingOrder="1"/>
    </xf>
    <xf numFmtId="0" fontId="9" fillId="3" borderId="2" xfId="0" applyFont="1" applyFill="1" applyBorder="1" applyAlignment="1">
      <alignment horizontal="left" vertical="top" indent="4"/>
    </xf>
    <xf numFmtId="0" fontId="9" fillId="3" borderId="3" xfId="0" applyFont="1" applyFill="1" applyBorder="1" applyAlignment="1">
      <alignment horizontal="left" vertical="top" indent="4"/>
    </xf>
    <xf numFmtId="0" fontId="0" fillId="3" borderId="6" xfId="0" applyFill="1" applyBorder="1" applyAlignment="1"/>
    <xf numFmtId="0" fontId="0" fillId="0" borderId="0" xfId="0" applyAlignment="1">
      <alignment horizontal="left" indent="1"/>
    </xf>
    <xf numFmtId="0" fontId="7" fillId="5" borderId="0" xfId="0" applyFont="1" applyFill="1" applyAlignment="1">
      <alignment horizontal="left" vertical="center"/>
    </xf>
    <xf numFmtId="0" fontId="0" fillId="14" borderId="0" xfId="0" applyFill="1" applyAlignment="1">
      <alignment horizontal="center" vertical="center"/>
    </xf>
    <xf numFmtId="0" fontId="0" fillId="0" borderId="0" xfId="0" applyAlignment="1">
      <alignment horizontal="center"/>
    </xf>
  </cellXfs>
  <cellStyles count="2">
    <cellStyle name="Hyperlink" xfId="1" builtinId="8"/>
    <cellStyle name="Normal" xfId="0" builtinId="0"/>
  </cellStyles>
  <dxfs count="43">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numFmt numFmtId="27" formatCode="dd/mm/yyyy\ hh:mm"/>
      <alignment horizontal="general" vertical="bottom" textRotation="0" wrapText="0" indent="0" justifyLastLine="0" shrinkToFit="0" readingOrder="1"/>
      <border diagonalUp="0" diagonalDown="0">
        <left style="thin">
          <color rgb="FF000000"/>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numFmt numFmtId="27" formatCode="dd/mm/yyyy\ hh:mm"/>
      <alignment horizontal="general" vertical="bottom" textRotation="0" wrapText="0" indent="0" justifyLastLine="0" shrinkToFit="0" readingOrder="1"/>
      <border diagonalUp="0" diagonalDown="0">
        <left/>
        <right style="thin">
          <color rgb="FFCCCCCC"/>
        </right>
        <top style="thin">
          <color rgb="FFCCCCCC"/>
        </top>
        <bottom style="thin">
          <color rgb="FFCCCCCC"/>
        </bottom>
        <vertical/>
        <horizontal/>
      </border>
    </dxf>
    <dxf>
      <border outline="0">
        <left style="thin">
          <color rgb="FF000000"/>
        </left>
        <right style="thin">
          <color rgb="FF000000"/>
        </right>
      </border>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dxf>
    <dxf>
      <font>
        <b/>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dxf>
    <dxf>
      <font>
        <color rgb="FF9C0006"/>
      </font>
      <fill>
        <patternFill>
          <bgColor rgb="FFFFC7CE"/>
        </patternFill>
      </fill>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9" formatCode="dd/mm/yyyy"/>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numFmt numFmtId="19" formatCode="dd/mm/yyyy"/>
    </dxf>
    <dxf>
      <numFmt numFmtId="166" formatCode="_-[$$-409]* #,##0_ ;_-[$$-409]* \-#,##0\ ;_-[$$-409]* &quot;-&quot;??_ ;_-@_ "/>
    </dxf>
    <dxf>
      <font>
        <b val="0"/>
        <color theme="1"/>
      </font>
      <fill>
        <patternFill patternType="solid">
          <fgColor indexed="64"/>
          <bgColor rgb="FFFFFF00"/>
        </patternFill>
      </fill>
    </dxf>
    <dxf>
      <fill>
        <patternFill patternType="solid">
          <fgColor indexed="64"/>
          <bgColor rgb="FFFFFF00"/>
        </patternFill>
      </fill>
      <alignment horizontal="center" vertical="center" textRotation="0" wrapText="0" indent="0" justifyLastLine="0" shrinkToFit="0" readingOrder="0"/>
    </dxf>
    <dxf>
      <numFmt numFmtId="0" formatCode="General"/>
    </dxf>
    <dxf>
      <numFmt numFmtId="0" formatCode="General"/>
    </dxf>
    <dxf>
      <numFmt numFmtId="19" formatCode="dd/mm/yyyy"/>
    </dxf>
    <dxf>
      <numFmt numFmtId="19" formatCode="dd/mm/yyyy"/>
    </dxf>
    <dxf>
      <numFmt numFmtId="2" formatCode="0.00"/>
    </dxf>
    <dxf>
      <numFmt numFmtId="19" formatCode="dd/mm/yyyy"/>
    </dxf>
    <dxf>
      <font>
        <b/>
        <i val="0"/>
        <strike val="0"/>
        <condense val="0"/>
        <extend val="0"/>
        <outline val="0"/>
        <shadow val="0"/>
        <u val="none"/>
        <vertAlign val="baseline"/>
        <sz val="11"/>
        <color theme="1"/>
        <name val="Aptos"/>
        <family val="2"/>
        <scheme val="minor"/>
      </font>
      <fill>
        <patternFill patternType="solid">
          <fgColor indexed="64"/>
          <bgColor theme="4" tint="0.59999389629810485"/>
        </patternFill>
      </fill>
    </dxf>
    <dxf>
      <numFmt numFmtId="0" formatCode="General"/>
      <fill>
        <patternFill patternType="solid">
          <fgColor indexed="64"/>
          <bgColor theme="6"/>
        </patternFill>
      </fill>
    </dxf>
    <dxf>
      <font>
        <b/>
      </font>
      <fill>
        <patternFill patternType="solid">
          <fgColor indexed="64"/>
          <bgColor theme="6"/>
        </patternFill>
      </fill>
    </dxf>
    <dxf>
      <fill>
        <patternFill patternType="solid">
          <fgColor indexed="64"/>
          <bgColor theme="6"/>
        </patternFill>
      </fill>
    </dxf>
    <dxf>
      <numFmt numFmtId="2" formatCode="0.00"/>
    </dxf>
    <dxf>
      <font>
        <b/>
        <i val="0"/>
        <strike val="0"/>
        <condense val="0"/>
        <extend val="0"/>
        <outline val="0"/>
        <shadow val="0"/>
        <u val="none"/>
        <vertAlign val="baseline"/>
        <sz val="11"/>
        <color theme="1"/>
        <name val="Aptos"/>
        <family val="2"/>
        <scheme val="minor"/>
      </font>
      <fill>
        <patternFill patternType="solid">
          <fgColor indexed="64"/>
          <bgColor theme="4" tint="0.59999389629810485"/>
        </patternFill>
      </fill>
    </dxf>
    <dxf>
      <font>
        <b/>
        <i val="0"/>
        <strike val="0"/>
        <condense val="0"/>
        <extend val="0"/>
        <outline val="0"/>
        <shadow val="0"/>
        <u val="none"/>
        <vertAlign val="baseline"/>
        <sz val="11"/>
        <color theme="1"/>
        <name val="Aptos"/>
        <family val="2"/>
        <scheme val="minor"/>
      </font>
    </dxf>
    <dxf>
      <font>
        <b/>
        <i val="0"/>
        <strike val="0"/>
        <condense val="0"/>
        <extend val="0"/>
        <outline val="0"/>
        <shadow val="0"/>
        <u val="none"/>
        <vertAlign val="baseline"/>
        <sz val="11"/>
        <color theme="1"/>
        <name val="Aptos"/>
        <family val="2"/>
        <scheme val="minor"/>
      </font>
    </dxf>
    <dxf>
      <font>
        <b/>
        <i val="0"/>
        <strike val="0"/>
        <condense val="0"/>
        <extend val="0"/>
        <outline val="0"/>
        <shadow val="0"/>
        <u val="none"/>
        <vertAlign val="baseline"/>
        <sz val="11"/>
        <color theme="1"/>
        <name val="Aptos"/>
        <family val="2"/>
        <scheme val="minor"/>
      </font>
    </dxf>
    <dxf>
      <font>
        <b/>
        <i val="0"/>
        <strike val="0"/>
        <condense val="0"/>
        <extend val="0"/>
        <outline val="0"/>
        <shadow val="0"/>
        <u val="none"/>
        <vertAlign val="baseline"/>
        <sz val="11"/>
        <color theme="1"/>
        <name val="Aptos"/>
        <family val="2"/>
        <scheme val="minor"/>
      </font>
    </dxf>
  </dxfs>
  <tableStyles count="0" defaultTableStyle="TableStyleMedium2" defaultPivotStyle="PivotStyleLight16"/>
  <colors>
    <mruColors>
      <color rgb="FF2173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CLUSTERD CHART</a:t>
            </a:r>
          </a:p>
        </c:rich>
      </c:tx>
      <c:layout>
        <c:manualLayout>
          <c:xMode val="edge"/>
          <c:yMode val="edge"/>
          <c:x val="0.31773987910602108"/>
          <c:y val="4.35606060606061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'formulas &amp;logical fxn 2'!$A$12:$A$37</c:f>
              <c:strCache>
                <c:ptCount val="26"/>
                <c:pt idx="0">
                  <c:v>A</c:v>
                </c:pt>
                <c:pt idx="1">
                  <c:v>B</c:v>
                </c:pt>
                <c:pt idx="2">
                  <c:v>C</c:v>
                </c:pt>
                <c:pt idx="3">
                  <c:v>D</c:v>
                </c:pt>
                <c:pt idx="4">
                  <c:v>E  </c:v>
                </c:pt>
                <c:pt idx="5">
                  <c:v>F</c:v>
                </c:pt>
                <c:pt idx="6">
                  <c:v>G</c:v>
                </c:pt>
                <c:pt idx="7">
                  <c:v>H</c:v>
                </c:pt>
                <c:pt idx="8">
                  <c:v>I</c:v>
                </c:pt>
                <c:pt idx="9">
                  <c:v>J</c:v>
                </c:pt>
                <c:pt idx="10">
                  <c:v>K</c:v>
                </c:pt>
                <c:pt idx="11">
                  <c:v>L</c:v>
                </c:pt>
                <c:pt idx="12">
                  <c:v>M</c:v>
                </c:pt>
                <c:pt idx="13">
                  <c:v>N</c:v>
                </c:pt>
                <c:pt idx="14">
                  <c:v>O</c:v>
                </c:pt>
                <c:pt idx="15">
                  <c:v>P</c:v>
                </c:pt>
                <c:pt idx="16">
                  <c:v>Q</c:v>
                </c:pt>
                <c:pt idx="17">
                  <c:v>R</c:v>
                </c:pt>
                <c:pt idx="18">
                  <c:v>S</c:v>
                </c:pt>
                <c:pt idx="19">
                  <c:v>T</c:v>
                </c:pt>
                <c:pt idx="20">
                  <c:v>U</c:v>
                </c:pt>
                <c:pt idx="21">
                  <c:v>V</c:v>
                </c:pt>
                <c:pt idx="22">
                  <c:v>W</c:v>
                </c:pt>
                <c:pt idx="23">
                  <c:v>X</c:v>
                </c:pt>
                <c:pt idx="24">
                  <c:v>Y</c:v>
                </c:pt>
                <c:pt idx="25">
                  <c:v>Z</c:v>
                </c:pt>
              </c:strCache>
            </c:strRef>
          </c:cat>
          <c:val>
            <c:numRef>
              <c:f>'formulas &amp;logical fxn 2'!$B$12:$B$37</c:f>
              <c:numCache>
                <c:formatCode>General</c:formatCode>
                <c:ptCount val="26"/>
                <c:pt idx="0">
                  <c:v>130</c:v>
                </c:pt>
                <c:pt idx="1">
                  <c:v>200</c:v>
                </c:pt>
                <c:pt idx="2">
                  <c:v>180</c:v>
                </c:pt>
                <c:pt idx="3">
                  <c:v>170</c:v>
                </c:pt>
                <c:pt idx="4">
                  <c:v>140</c:v>
                </c:pt>
                <c:pt idx="5">
                  <c:v>180</c:v>
                </c:pt>
                <c:pt idx="6">
                  <c:v>120</c:v>
                </c:pt>
                <c:pt idx="7">
                  <c:v>388</c:v>
                </c:pt>
                <c:pt idx="8">
                  <c:v>780</c:v>
                </c:pt>
                <c:pt idx="9">
                  <c:v>230</c:v>
                </c:pt>
                <c:pt idx="10">
                  <c:v>320</c:v>
                </c:pt>
                <c:pt idx="11">
                  <c:v>420</c:v>
                </c:pt>
                <c:pt idx="12">
                  <c:v>120</c:v>
                </c:pt>
                <c:pt idx="13">
                  <c:v>210</c:v>
                </c:pt>
                <c:pt idx="14">
                  <c:v>310</c:v>
                </c:pt>
                <c:pt idx="15">
                  <c:v>210</c:v>
                </c:pt>
                <c:pt idx="16">
                  <c:v>130</c:v>
                </c:pt>
                <c:pt idx="17">
                  <c:v>125</c:v>
                </c:pt>
                <c:pt idx="18">
                  <c:v>235</c:v>
                </c:pt>
                <c:pt idx="19">
                  <c:v>800</c:v>
                </c:pt>
                <c:pt idx="20">
                  <c:v>400</c:v>
                </c:pt>
                <c:pt idx="21">
                  <c:v>500</c:v>
                </c:pt>
                <c:pt idx="22">
                  <c:v>50</c:v>
                </c:pt>
                <c:pt idx="23">
                  <c:v>70</c:v>
                </c:pt>
                <c:pt idx="24">
                  <c:v>80</c:v>
                </c:pt>
                <c:pt idx="25">
                  <c:v>90</c:v>
                </c:pt>
              </c:numCache>
            </c:numRef>
          </c:val>
          <c:extLst>
            <c:ext xmlns:c16="http://schemas.microsoft.com/office/drawing/2014/chart" uri="{C3380CC4-5D6E-409C-BE32-E72D297353CC}">
              <c16:uniqueId val="{00000000-272B-4EC3-ABF7-C60D973C87A5}"/>
            </c:ext>
          </c:extLst>
        </c:ser>
        <c:dLbls>
          <c:showLegendKey val="0"/>
          <c:showVal val="0"/>
          <c:showCatName val="0"/>
          <c:showSerName val="0"/>
          <c:showPercent val="0"/>
          <c:showBubbleSize val="0"/>
        </c:dLbls>
        <c:gapWidth val="150"/>
        <c:axId val="808803335"/>
        <c:axId val="808815111"/>
      </c:barChart>
      <c:catAx>
        <c:axId val="808803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815111"/>
        <c:crosses val="autoZero"/>
        <c:auto val="1"/>
        <c:lblAlgn val="ctr"/>
        <c:lblOffset val="100"/>
        <c:noMultiLvlLbl val="0"/>
      </c:catAx>
      <c:valAx>
        <c:axId val="808815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803335"/>
        <c:crosses val="autoZero"/>
        <c:crossBetween val="between"/>
      </c:valAx>
      <c:spPr>
        <a:noFill/>
        <a:ln>
          <a:noFill/>
        </a:ln>
        <a:effectLst/>
      </c:spPr>
    </c:plotArea>
    <c:legend>
      <c:legendPos val="b"/>
      <c:layout>
        <c:manualLayout>
          <c:xMode val="edge"/>
          <c:yMode val="edge"/>
          <c:x val="0.44479225324107224"/>
          <c:y val="0.90672300432142972"/>
          <c:w val="0.13488888888888889"/>
          <c:h val="7.812554680664918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'formulas &amp;logical fxn 2'!$A$12:$A$37</c:f>
              <c:strCache>
                <c:ptCount val="26"/>
                <c:pt idx="0">
                  <c:v>A</c:v>
                </c:pt>
                <c:pt idx="1">
                  <c:v>B</c:v>
                </c:pt>
                <c:pt idx="2">
                  <c:v>C</c:v>
                </c:pt>
                <c:pt idx="3">
                  <c:v>D</c:v>
                </c:pt>
                <c:pt idx="4">
                  <c:v>E  </c:v>
                </c:pt>
                <c:pt idx="5">
                  <c:v>F</c:v>
                </c:pt>
                <c:pt idx="6">
                  <c:v>G</c:v>
                </c:pt>
                <c:pt idx="7">
                  <c:v>H</c:v>
                </c:pt>
                <c:pt idx="8">
                  <c:v>I</c:v>
                </c:pt>
                <c:pt idx="9">
                  <c:v>J</c:v>
                </c:pt>
                <c:pt idx="10">
                  <c:v>K</c:v>
                </c:pt>
                <c:pt idx="11">
                  <c:v>L</c:v>
                </c:pt>
                <c:pt idx="12">
                  <c:v>M</c:v>
                </c:pt>
                <c:pt idx="13">
                  <c:v>N</c:v>
                </c:pt>
                <c:pt idx="14">
                  <c:v>O</c:v>
                </c:pt>
                <c:pt idx="15">
                  <c:v>P</c:v>
                </c:pt>
                <c:pt idx="16">
                  <c:v>Q</c:v>
                </c:pt>
                <c:pt idx="17">
                  <c:v>R</c:v>
                </c:pt>
                <c:pt idx="18">
                  <c:v>S</c:v>
                </c:pt>
                <c:pt idx="19">
                  <c:v>T</c:v>
                </c:pt>
                <c:pt idx="20">
                  <c:v>U</c:v>
                </c:pt>
                <c:pt idx="21">
                  <c:v>V</c:v>
                </c:pt>
                <c:pt idx="22">
                  <c:v>W</c:v>
                </c:pt>
                <c:pt idx="23">
                  <c:v>X</c:v>
                </c:pt>
                <c:pt idx="24">
                  <c:v>Y</c:v>
                </c:pt>
                <c:pt idx="25">
                  <c:v>Z</c:v>
                </c:pt>
              </c:strCache>
            </c:strRef>
          </c:cat>
          <c:val>
            <c:numRef>
              <c:f>'formulas &amp;logical fxn 2'!$B$12:$B$37</c:f>
              <c:numCache>
                <c:formatCode>General</c:formatCode>
                <c:ptCount val="26"/>
                <c:pt idx="0">
                  <c:v>130</c:v>
                </c:pt>
                <c:pt idx="1">
                  <c:v>200</c:v>
                </c:pt>
                <c:pt idx="2">
                  <c:v>180</c:v>
                </c:pt>
                <c:pt idx="3">
                  <c:v>170</c:v>
                </c:pt>
                <c:pt idx="4">
                  <c:v>140</c:v>
                </c:pt>
                <c:pt idx="5">
                  <c:v>180</c:v>
                </c:pt>
                <c:pt idx="6">
                  <c:v>120</c:v>
                </c:pt>
                <c:pt idx="7">
                  <c:v>388</c:v>
                </c:pt>
                <c:pt idx="8">
                  <c:v>780</c:v>
                </c:pt>
                <c:pt idx="9">
                  <c:v>230</c:v>
                </c:pt>
                <c:pt idx="10">
                  <c:v>320</c:v>
                </c:pt>
                <c:pt idx="11">
                  <c:v>420</c:v>
                </c:pt>
                <c:pt idx="12">
                  <c:v>120</c:v>
                </c:pt>
                <c:pt idx="13">
                  <c:v>210</c:v>
                </c:pt>
                <c:pt idx="14">
                  <c:v>310</c:v>
                </c:pt>
                <c:pt idx="15">
                  <c:v>210</c:v>
                </c:pt>
                <c:pt idx="16">
                  <c:v>130</c:v>
                </c:pt>
                <c:pt idx="17">
                  <c:v>125</c:v>
                </c:pt>
                <c:pt idx="18">
                  <c:v>235</c:v>
                </c:pt>
                <c:pt idx="19">
                  <c:v>800</c:v>
                </c:pt>
                <c:pt idx="20">
                  <c:v>400</c:v>
                </c:pt>
                <c:pt idx="21">
                  <c:v>500</c:v>
                </c:pt>
                <c:pt idx="22">
                  <c:v>50</c:v>
                </c:pt>
                <c:pt idx="23">
                  <c:v>70</c:v>
                </c:pt>
                <c:pt idx="24">
                  <c:v>80</c:v>
                </c:pt>
                <c:pt idx="25">
                  <c:v>90</c:v>
                </c:pt>
              </c:numCache>
            </c:numRef>
          </c:val>
          <c:extLst>
            <c:ext xmlns:c16="http://schemas.microsoft.com/office/drawing/2014/chart" uri="{C3380CC4-5D6E-409C-BE32-E72D297353CC}">
              <c16:uniqueId val="{00000000-286C-4BC2-B607-67FD02809EE8}"/>
            </c:ext>
          </c:extLst>
        </c:ser>
        <c:dLbls>
          <c:showLegendKey val="0"/>
          <c:showVal val="0"/>
          <c:showCatName val="0"/>
          <c:showSerName val="0"/>
          <c:showPercent val="0"/>
          <c:showBubbleSize val="0"/>
        </c:dLbls>
        <c:gapWidth val="182"/>
        <c:axId val="1211665927"/>
        <c:axId val="1211676167"/>
      </c:barChart>
      <c:catAx>
        <c:axId val="1211665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76167"/>
        <c:crosses val="autoZero"/>
        <c:auto val="1"/>
        <c:lblAlgn val="ctr"/>
        <c:lblOffset val="100"/>
        <c:noMultiLvlLbl val="0"/>
      </c:catAx>
      <c:valAx>
        <c:axId val="1211676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65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0000"/>
    </a:solidFill>
    <a:ln w="9525" cap="flat" cmpd="sng" algn="ctr">
      <a:solidFill>
        <a:srgbClr val="FFFF00"/>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Aptos"/>
              </a:rPr>
              <a:t>HEIRICHAL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'formulas &amp;logical fxn 2'!$A$12:$A$37</c:f>
              <c:strCache>
                <c:ptCount val="26"/>
                <c:pt idx="0">
                  <c:v>A</c:v>
                </c:pt>
                <c:pt idx="1">
                  <c:v>B</c:v>
                </c:pt>
                <c:pt idx="2">
                  <c:v>C</c:v>
                </c:pt>
                <c:pt idx="3">
                  <c:v>D</c:v>
                </c:pt>
                <c:pt idx="4">
                  <c:v>E  </c:v>
                </c:pt>
                <c:pt idx="5">
                  <c:v>F</c:v>
                </c:pt>
                <c:pt idx="6">
                  <c:v>G</c:v>
                </c:pt>
                <c:pt idx="7">
                  <c:v>H</c:v>
                </c:pt>
                <c:pt idx="8">
                  <c:v>I</c:v>
                </c:pt>
                <c:pt idx="9">
                  <c:v>J</c:v>
                </c:pt>
                <c:pt idx="10">
                  <c:v>K</c:v>
                </c:pt>
                <c:pt idx="11">
                  <c:v>L</c:v>
                </c:pt>
                <c:pt idx="12">
                  <c:v>M</c:v>
                </c:pt>
                <c:pt idx="13">
                  <c:v>N</c:v>
                </c:pt>
                <c:pt idx="14">
                  <c:v>O</c:v>
                </c:pt>
                <c:pt idx="15">
                  <c:v>P</c:v>
                </c:pt>
                <c:pt idx="16">
                  <c:v>Q</c:v>
                </c:pt>
                <c:pt idx="17">
                  <c:v>R</c:v>
                </c:pt>
                <c:pt idx="18">
                  <c:v>S</c:v>
                </c:pt>
                <c:pt idx="19">
                  <c:v>T</c:v>
                </c:pt>
                <c:pt idx="20">
                  <c:v>U</c:v>
                </c:pt>
                <c:pt idx="21">
                  <c:v>V</c:v>
                </c:pt>
                <c:pt idx="22">
                  <c:v>W</c:v>
                </c:pt>
                <c:pt idx="23">
                  <c:v>X</c:v>
                </c:pt>
                <c:pt idx="24">
                  <c:v>Y</c:v>
                </c:pt>
                <c:pt idx="25">
                  <c:v>Z</c:v>
                </c:pt>
              </c:strCache>
            </c:strRef>
          </c:xVal>
          <c:yVal>
            <c:numRef>
              <c:f>'formulas &amp;logical fxn 2'!$B$12:$B$37</c:f>
              <c:numCache>
                <c:formatCode>General</c:formatCode>
                <c:ptCount val="26"/>
                <c:pt idx="0">
                  <c:v>130</c:v>
                </c:pt>
                <c:pt idx="1">
                  <c:v>200</c:v>
                </c:pt>
                <c:pt idx="2">
                  <c:v>180</c:v>
                </c:pt>
                <c:pt idx="3">
                  <c:v>170</c:v>
                </c:pt>
                <c:pt idx="4">
                  <c:v>140</c:v>
                </c:pt>
                <c:pt idx="5">
                  <c:v>180</c:v>
                </c:pt>
                <c:pt idx="6">
                  <c:v>120</c:v>
                </c:pt>
                <c:pt idx="7">
                  <c:v>388</c:v>
                </c:pt>
                <c:pt idx="8">
                  <c:v>780</c:v>
                </c:pt>
                <c:pt idx="9">
                  <c:v>230</c:v>
                </c:pt>
                <c:pt idx="10">
                  <c:v>320</c:v>
                </c:pt>
                <c:pt idx="11">
                  <c:v>420</c:v>
                </c:pt>
                <c:pt idx="12">
                  <c:v>120</c:v>
                </c:pt>
                <c:pt idx="13">
                  <c:v>210</c:v>
                </c:pt>
                <c:pt idx="14">
                  <c:v>310</c:v>
                </c:pt>
                <c:pt idx="15">
                  <c:v>210</c:v>
                </c:pt>
                <c:pt idx="16">
                  <c:v>130</c:v>
                </c:pt>
                <c:pt idx="17">
                  <c:v>125</c:v>
                </c:pt>
                <c:pt idx="18">
                  <c:v>235</c:v>
                </c:pt>
                <c:pt idx="19">
                  <c:v>800</c:v>
                </c:pt>
                <c:pt idx="20">
                  <c:v>400</c:v>
                </c:pt>
                <c:pt idx="21">
                  <c:v>500</c:v>
                </c:pt>
                <c:pt idx="22">
                  <c:v>50</c:v>
                </c:pt>
                <c:pt idx="23">
                  <c:v>70</c:v>
                </c:pt>
                <c:pt idx="24">
                  <c:v>80</c:v>
                </c:pt>
                <c:pt idx="25">
                  <c:v>90</c:v>
                </c:pt>
              </c:numCache>
            </c:numRef>
          </c:yVal>
          <c:smooth val="0"/>
          <c:extLst>
            <c:ext xmlns:c16="http://schemas.microsoft.com/office/drawing/2014/chart" uri="{C3380CC4-5D6E-409C-BE32-E72D297353CC}">
              <c16:uniqueId val="{00000000-E6CA-47E0-B86C-F0239383535B}"/>
            </c:ext>
          </c:extLst>
        </c:ser>
        <c:dLbls>
          <c:showLegendKey val="0"/>
          <c:showVal val="0"/>
          <c:showCatName val="0"/>
          <c:showSerName val="0"/>
          <c:showPercent val="0"/>
          <c:showBubbleSize val="0"/>
        </c:dLbls>
        <c:axId val="61289480"/>
        <c:axId val="61317128"/>
      </c:scatterChart>
      <c:valAx>
        <c:axId val="61289480"/>
        <c:scaling>
          <c:orientation val="minMax"/>
        </c:scaling>
        <c:delete val="0"/>
        <c:axPos val="b"/>
        <c:majorGridlines>
          <c:spPr>
            <a:ln w="9525" cap="flat" cmpd="sng" algn="ctr">
              <a:solidFill>
                <a:srgbClr val="FFFF00"/>
              </a:solidFill>
              <a:prstDash val="solid"/>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17128"/>
        <c:crosses val="autoZero"/>
        <c:crossBetween val="midCat"/>
      </c:valAx>
      <c:valAx>
        <c:axId val="61317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894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'formulas &amp;logical fxn 2'!$B$61</c:f>
              <c:strCache>
                <c:ptCount val="1"/>
                <c:pt idx="0">
                  <c:v>PRICES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'formulas &amp;logical fxn 2'!$A$62:$A$70</c:f>
              <c:strCache>
                <c:ptCount val="9"/>
                <c:pt idx="0">
                  <c:v>Beauty Products</c:v>
                </c:pt>
                <c:pt idx="1">
                  <c:v>Mobile Accesories</c:v>
                </c:pt>
                <c:pt idx="2">
                  <c:v>Home Decor</c:v>
                </c:pt>
                <c:pt idx="3">
                  <c:v>Kitchen Ware</c:v>
                </c:pt>
                <c:pt idx="4">
                  <c:v>Baby Products</c:v>
                </c:pt>
                <c:pt idx="5">
                  <c:v>Home Decor</c:v>
                </c:pt>
                <c:pt idx="6">
                  <c:v>Jewellery</c:v>
                </c:pt>
                <c:pt idx="7">
                  <c:v>Perfumes</c:v>
                </c:pt>
                <c:pt idx="8">
                  <c:v>Personal Care</c:v>
                </c:pt>
              </c:strCache>
            </c:strRef>
          </c:cat>
          <c:val>
            <c:numRef>
              <c:f>'formulas &amp;logical fxn 2'!$B$62:$B$70</c:f>
              <c:numCache>
                <c:formatCode>_-[$$-409]* #,##0_ ;_-[$$-409]* \-#,##0\ ;_-[$$-409]* "-"??_ ;_-@_ </c:formatCode>
                <c:ptCount val="9"/>
                <c:pt idx="0">
                  <c:v>5000</c:v>
                </c:pt>
                <c:pt idx="1">
                  <c:v>6000</c:v>
                </c:pt>
                <c:pt idx="2">
                  <c:v>7000</c:v>
                </c:pt>
                <c:pt idx="3">
                  <c:v>8000</c:v>
                </c:pt>
                <c:pt idx="4">
                  <c:v>9000</c:v>
                </c:pt>
                <c:pt idx="5">
                  <c:v>10000</c:v>
                </c:pt>
                <c:pt idx="6">
                  <c:v>10000</c:v>
                </c:pt>
                <c:pt idx="7">
                  <c:v>15000</c:v>
                </c:pt>
                <c:pt idx="8">
                  <c:v>18000</c:v>
                </c:pt>
              </c:numCache>
            </c:numRef>
          </c:val>
          <c:smooth val="0"/>
          <c:extLst>
            <c:ext xmlns:c16="http://schemas.microsoft.com/office/drawing/2014/chart" uri="{C3380CC4-5D6E-409C-BE32-E72D297353CC}">
              <c16:uniqueId val="{00000000-2DFA-4EDE-8117-C3D4C8472FB9}"/>
            </c:ext>
          </c:extLst>
        </c:ser>
        <c:ser>
          <c:idx val="1"/>
          <c:order val="1"/>
          <c:tx>
            <c:strRef>
              <c:f>'formulas &amp;logical fxn 2'!$C$61</c:f>
              <c:strCache>
                <c:ptCount val="1"/>
                <c:pt idx="0">
                  <c:v>DATES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'formulas &amp;logical fxn 2'!$A$62:$A$70</c:f>
              <c:strCache>
                <c:ptCount val="9"/>
                <c:pt idx="0">
                  <c:v>Beauty Products</c:v>
                </c:pt>
                <c:pt idx="1">
                  <c:v>Mobile Accesories</c:v>
                </c:pt>
                <c:pt idx="2">
                  <c:v>Home Decor</c:v>
                </c:pt>
                <c:pt idx="3">
                  <c:v>Kitchen Ware</c:v>
                </c:pt>
                <c:pt idx="4">
                  <c:v>Baby Products</c:v>
                </c:pt>
                <c:pt idx="5">
                  <c:v>Home Decor</c:v>
                </c:pt>
                <c:pt idx="6">
                  <c:v>Jewellery</c:v>
                </c:pt>
                <c:pt idx="7">
                  <c:v>Perfumes</c:v>
                </c:pt>
                <c:pt idx="8">
                  <c:v>Personal Care</c:v>
                </c:pt>
              </c:strCache>
            </c:strRef>
          </c:cat>
          <c:val>
            <c:numRef>
              <c:f>'formulas &amp;logical fxn 2'!$C$62:$C$70</c:f>
              <c:numCache>
                <c:formatCode>m/d/yyyy</c:formatCode>
                <c:ptCount val="9"/>
                <c:pt idx="0">
                  <c:v>45413</c:v>
                </c:pt>
                <c:pt idx="1">
                  <c:v>45293</c:v>
                </c:pt>
                <c:pt idx="2">
                  <c:v>45294</c:v>
                </c:pt>
                <c:pt idx="3">
                  <c:v>45295</c:v>
                </c:pt>
                <c:pt idx="4">
                  <c:v>45296</c:v>
                </c:pt>
                <c:pt idx="5">
                  <c:v>45297</c:v>
                </c:pt>
                <c:pt idx="6">
                  <c:v>45298</c:v>
                </c:pt>
                <c:pt idx="7">
                  <c:v>45299</c:v>
                </c:pt>
                <c:pt idx="8">
                  <c:v>45300</c:v>
                </c:pt>
              </c:numCache>
            </c:numRef>
          </c:val>
          <c:smooth val="0"/>
          <c:extLst>
            <c:ext xmlns:c16="http://schemas.microsoft.com/office/drawing/2014/chart" uri="{C3380CC4-5D6E-409C-BE32-E72D297353CC}">
              <c16:uniqueId val="{00000002-2DFA-4EDE-8117-C3D4C8472FB9}"/>
            </c:ext>
          </c:extLst>
        </c:ser>
        <c:dLbls>
          <c:showLegendKey val="0"/>
          <c:showVal val="0"/>
          <c:showCatName val="0"/>
          <c:showSerName val="0"/>
          <c:showPercent val="0"/>
          <c:showBubbleSize val="0"/>
        </c:dLbls>
        <c:marker val="1"/>
        <c:smooth val="0"/>
        <c:axId val="2117530631"/>
        <c:axId val="1962216967"/>
      </c:lineChart>
      <c:catAx>
        <c:axId val="2117530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216967"/>
        <c:crosses val="autoZero"/>
        <c:auto val="1"/>
        <c:lblAlgn val="ctr"/>
        <c:lblOffset val="100"/>
        <c:noMultiLvlLbl val="0"/>
      </c:catAx>
      <c:valAx>
        <c:axId val="19622169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30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1.xlsx]Sheet3!PivotTable7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Sheet3!$A$4:$A$24</c:f>
              <c:strCache>
                <c:ptCount val="20"/>
                <c:pt idx="0">
                  <c:v>01-01-2024 00:00</c:v>
                </c:pt>
                <c:pt idx="1">
                  <c:v>10-01-2024 12:37</c:v>
                </c:pt>
                <c:pt idx="2">
                  <c:v>20-01-2024 01:15</c:v>
                </c:pt>
                <c:pt idx="3">
                  <c:v>29-01-2024 13:53</c:v>
                </c:pt>
                <c:pt idx="4">
                  <c:v>08-02-2024 02:31</c:v>
                </c:pt>
                <c:pt idx="5">
                  <c:v>17-02-2024 15:09</c:v>
                </c:pt>
                <c:pt idx="6">
                  <c:v>27-02-2024 03:47</c:v>
                </c:pt>
                <c:pt idx="7">
                  <c:v>07-03-2024 16:25</c:v>
                </c:pt>
                <c:pt idx="8">
                  <c:v>17-03-2024 05:03</c:v>
                </c:pt>
                <c:pt idx="9">
                  <c:v>26-03-2024 17:41</c:v>
                </c:pt>
                <c:pt idx="10">
                  <c:v>05-04-2024 06:18</c:v>
                </c:pt>
                <c:pt idx="11">
                  <c:v>14-04-2024 18:56</c:v>
                </c:pt>
                <c:pt idx="12">
                  <c:v>24-04-2024 07:34</c:v>
                </c:pt>
                <c:pt idx="13">
                  <c:v>03-05-2024 20:12</c:v>
                </c:pt>
                <c:pt idx="14">
                  <c:v>13-05-2024 08:50</c:v>
                </c:pt>
                <c:pt idx="15">
                  <c:v>22-05-2024 21:28</c:v>
                </c:pt>
                <c:pt idx="16">
                  <c:v>01-06-2024 10:06</c:v>
                </c:pt>
                <c:pt idx="17">
                  <c:v>10-06-2024 22:44</c:v>
                </c:pt>
                <c:pt idx="18">
                  <c:v>20-06-2024 11:22</c:v>
                </c:pt>
                <c:pt idx="19">
                  <c:v>30-06-2024 00:00</c:v>
                </c:pt>
              </c:strCache>
            </c:strRef>
          </c:cat>
          <c:val>
            <c:numRef>
              <c:f>Sheet3!$B$4:$B$24</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extLst>
            <c:ext xmlns:c16="http://schemas.microsoft.com/office/drawing/2014/chart" uri="{C3380CC4-5D6E-409C-BE32-E72D297353CC}">
              <c16:uniqueId val="{00000000-72EA-462D-8DF0-46504EA8236F}"/>
            </c:ext>
          </c:extLst>
        </c:ser>
        <c:dLbls>
          <c:showLegendKey val="0"/>
          <c:showVal val="0"/>
          <c:showCatName val="0"/>
          <c:showSerName val="0"/>
          <c:showPercent val="0"/>
          <c:showBubbleSize val="0"/>
        </c:dLbls>
        <c:gapWidth val="150"/>
        <c:axId val="1910345223"/>
        <c:axId val="1910953479"/>
      </c:barChart>
      <c:catAx>
        <c:axId val="1910345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53479"/>
        <c:crosses val="autoZero"/>
        <c:auto val="1"/>
        <c:lblAlgn val="ctr"/>
        <c:lblOffset val="100"/>
        <c:noMultiLvlLbl val="0"/>
      </c:catAx>
      <c:valAx>
        <c:axId val="1910953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45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1.xlsx]Sheet3!PivotTable7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Sheet3!$A$4:$A$24</c:f>
              <c:strCache>
                <c:ptCount val="20"/>
                <c:pt idx="0">
                  <c:v>01-01-2024 00:00</c:v>
                </c:pt>
                <c:pt idx="1">
                  <c:v>10-01-2024 12:37</c:v>
                </c:pt>
                <c:pt idx="2">
                  <c:v>20-01-2024 01:15</c:v>
                </c:pt>
                <c:pt idx="3">
                  <c:v>29-01-2024 13:53</c:v>
                </c:pt>
                <c:pt idx="4">
                  <c:v>08-02-2024 02:31</c:v>
                </c:pt>
                <c:pt idx="5">
                  <c:v>17-02-2024 15:09</c:v>
                </c:pt>
                <c:pt idx="6">
                  <c:v>27-02-2024 03:47</c:v>
                </c:pt>
                <c:pt idx="7">
                  <c:v>07-03-2024 16:25</c:v>
                </c:pt>
                <c:pt idx="8">
                  <c:v>17-03-2024 05:03</c:v>
                </c:pt>
                <c:pt idx="9">
                  <c:v>26-03-2024 17:41</c:v>
                </c:pt>
                <c:pt idx="10">
                  <c:v>05-04-2024 06:18</c:v>
                </c:pt>
                <c:pt idx="11">
                  <c:v>14-04-2024 18:56</c:v>
                </c:pt>
                <c:pt idx="12">
                  <c:v>24-04-2024 07:34</c:v>
                </c:pt>
                <c:pt idx="13">
                  <c:v>03-05-2024 20:12</c:v>
                </c:pt>
                <c:pt idx="14">
                  <c:v>13-05-2024 08:50</c:v>
                </c:pt>
                <c:pt idx="15">
                  <c:v>22-05-2024 21:28</c:v>
                </c:pt>
                <c:pt idx="16">
                  <c:v>01-06-2024 10:06</c:v>
                </c:pt>
                <c:pt idx="17">
                  <c:v>10-06-2024 22:44</c:v>
                </c:pt>
                <c:pt idx="18">
                  <c:v>20-06-2024 11:22</c:v>
                </c:pt>
                <c:pt idx="19">
                  <c:v>30-06-2024 00:00</c:v>
                </c:pt>
              </c:strCache>
            </c:strRef>
          </c:cat>
          <c:val>
            <c:numRef>
              <c:f>Sheet3!$B$4:$B$24</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extLst>
            <c:ext xmlns:c16="http://schemas.microsoft.com/office/drawing/2014/chart" uri="{C3380CC4-5D6E-409C-BE32-E72D297353CC}">
              <c16:uniqueId val="{00000000-6AEA-439C-B108-62604686C395}"/>
            </c:ext>
          </c:extLst>
        </c:ser>
        <c:dLbls>
          <c:showLegendKey val="0"/>
          <c:showVal val="0"/>
          <c:showCatName val="0"/>
          <c:showSerName val="0"/>
          <c:showPercent val="0"/>
          <c:showBubbleSize val="0"/>
        </c:dLbls>
        <c:gapWidth val="150"/>
        <c:axId val="1910345223"/>
        <c:axId val="1910953479"/>
      </c:barChart>
      <c:catAx>
        <c:axId val="1910345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53479"/>
        <c:crosses val="autoZero"/>
        <c:auto val="1"/>
        <c:lblAlgn val="ctr"/>
        <c:lblOffset val="100"/>
        <c:noMultiLvlLbl val="0"/>
      </c:catAx>
      <c:valAx>
        <c:axId val="1910953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45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xdr:col>
      <xdr:colOff>571500</xdr:colOff>
      <xdr:row>1</xdr:row>
      <xdr:rowOff>171451</xdr:rowOff>
    </xdr:from>
    <xdr:to>
      <xdr:col>3</xdr:col>
      <xdr:colOff>539749</xdr:colOff>
      <xdr:row>1</xdr:row>
      <xdr:rowOff>821393</xdr:rowOff>
    </xdr:to>
    <xdr:pic>
      <xdr:nvPicPr>
        <xdr:cNvPr id="7" name="Picture 6" descr="Microsoft Copilot Model Icons">
          <a:extLst>
            <a:ext uri="{FF2B5EF4-FFF2-40B4-BE49-F238E27FC236}">
              <a16:creationId xmlns:a16="http://schemas.microsoft.com/office/drawing/2014/main" id="{E30DB789-421C-AAD2-65BE-6588702797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23550" y="431801"/>
          <a:ext cx="634999" cy="649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116828</xdr:colOff>
      <xdr:row>1</xdr:row>
      <xdr:rowOff>857249</xdr:rowOff>
    </xdr:from>
    <xdr:to>
      <xdr:col>4</xdr:col>
      <xdr:colOff>305275</xdr:colOff>
      <xdr:row>4</xdr:row>
      <xdr:rowOff>404812</xdr:rowOff>
    </xdr:to>
    <xdr:pic>
      <xdr:nvPicPr>
        <xdr:cNvPr id="6" name="Picture 5" descr="Excel logo icon">
          <a:extLst>
            <a:ext uri="{FF2B5EF4-FFF2-40B4-BE49-F238E27FC236}">
              <a16:creationId xmlns:a16="http://schemas.microsoft.com/office/drawing/2014/main" id="{784DCDE5-89BA-072A-368E-F666D010D6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8878" y="1117599"/>
          <a:ext cx="1521947" cy="1516063"/>
        </a:xfrm>
        <a:prstGeom prst="rect">
          <a:avLst/>
        </a:prstGeom>
      </xdr:spPr>
    </xdr:pic>
    <xdr:clientData/>
  </xdr:twoCellAnchor>
  <xdr:twoCellAnchor editAs="oneCell">
    <xdr:from>
      <xdr:col>1</xdr:col>
      <xdr:colOff>1562752</xdr:colOff>
      <xdr:row>10</xdr:row>
      <xdr:rowOff>105232</xdr:rowOff>
    </xdr:from>
    <xdr:to>
      <xdr:col>1</xdr:col>
      <xdr:colOff>1769920</xdr:colOff>
      <xdr:row>11</xdr:row>
      <xdr:rowOff>2021</xdr:rowOff>
    </xdr:to>
    <xdr:pic>
      <xdr:nvPicPr>
        <xdr:cNvPr id="3" name="drawing" descr="Send button icon">
          <a:extLst>
            <a:ext uri="{FF2B5EF4-FFF2-40B4-BE49-F238E27FC236}">
              <a16:creationId xmlns:a16="http://schemas.microsoft.com/office/drawing/2014/main" id="{5BD08943-4FD1-F0BD-B10C-9B43B9E0AD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a:xfrm>
          <a:off x="1959627" y="4304170"/>
          <a:ext cx="207168" cy="214289"/>
        </a:xfrm>
        <a:prstGeom prst="rect">
          <a:avLst/>
        </a:prstGeom>
      </xdr:spPr>
    </xdr:pic>
    <xdr:clientData/>
  </xdr:twoCellAnchor>
  <xdr:twoCellAnchor editAs="oneCell">
    <xdr:from>
      <xdr:col>1</xdr:col>
      <xdr:colOff>5685440</xdr:colOff>
      <xdr:row>7</xdr:row>
      <xdr:rowOff>21784</xdr:rowOff>
    </xdr:from>
    <xdr:to>
      <xdr:col>1</xdr:col>
      <xdr:colOff>5866415</xdr:colOff>
      <xdr:row>7</xdr:row>
      <xdr:rowOff>186249</xdr:rowOff>
    </xdr:to>
    <xdr:pic>
      <xdr:nvPicPr>
        <xdr:cNvPr id="5" name="drawing" descr="Tools menu icon">
          <a:extLst>
            <a:ext uri="{FF2B5EF4-FFF2-40B4-BE49-F238E27FC236}">
              <a16:creationId xmlns:a16="http://schemas.microsoft.com/office/drawing/2014/main" id="{B3716A7A-FD96-ECC1-B449-3A1405F02BD5}"/>
            </a:ext>
            <a:ext uri="{147F2762-F138-4A5C-976F-8EAC2B608ADB}">
              <a16:predDERef xmlns:a16="http://schemas.microsoft.com/office/drawing/2014/main" pred="{5BD08943-4FD1-F0BD-B10C-9B43B9E0AD0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a:ext>
          </a:extLst>
        </a:blip>
        <a:stretch>
          <a:fillRect/>
        </a:stretch>
      </xdr:blipFill>
      <xdr:spPr>
        <a:xfrm>
          <a:off x="6114065" y="3184084"/>
          <a:ext cx="180975" cy="1644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161925</xdr:colOff>
      <xdr:row>11</xdr:row>
      <xdr:rowOff>152400</xdr:rowOff>
    </xdr:from>
    <xdr:to>
      <xdr:col>8</xdr:col>
      <xdr:colOff>523875</xdr:colOff>
      <xdr:row>26</xdr:row>
      <xdr:rowOff>28575</xdr:rowOff>
    </xdr:to>
    <xdr:graphicFrame macro="">
      <xdr:nvGraphicFramePr>
        <xdr:cNvPr id="2" name="Chart 1">
          <a:extLst>
            <a:ext uri="{FF2B5EF4-FFF2-40B4-BE49-F238E27FC236}">
              <a16:creationId xmlns:a16="http://schemas.microsoft.com/office/drawing/2014/main" id="{71B75FC6-F1A3-505A-DF6C-661B8B4E8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xdr:colOff>
      <xdr:row>28</xdr:row>
      <xdr:rowOff>47625</xdr:rowOff>
    </xdr:from>
    <xdr:to>
      <xdr:col>8</xdr:col>
      <xdr:colOff>457200</xdr:colOff>
      <xdr:row>42</xdr:row>
      <xdr:rowOff>123825</xdr:rowOff>
    </xdr:to>
    <xdr:graphicFrame macro="">
      <xdr:nvGraphicFramePr>
        <xdr:cNvPr id="3" name="Chart 2">
          <a:extLst>
            <a:ext uri="{FF2B5EF4-FFF2-40B4-BE49-F238E27FC236}">
              <a16:creationId xmlns:a16="http://schemas.microsoft.com/office/drawing/2014/main" id="{7274BD8D-E1BF-A8EF-EBC2-B7CB0D0D69AE}"/>
            </a:ext>
            <a:ext uri="{147F2762-F138-4A5C-976F-8EAC2B608ADB}">
              <a16:predDERef xmlns:a16="http://schemas.microsoft.com/office/drawing/2014/main" pred="{71B75FC6-F1A3-505A-DF6C-661B8B4E8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1133475</xdr:colOff>
      <xdr:row>44</xdr:row>
      <xdr:rowOff>66675</xdr:rowOff>
    </xdr:from>
    <xdr:to>
      <xdr:col>8</xdr:col>
      <xdr:colOff>247650</xdr:colOff>
      <xdr:row>58</xdr:row>
      <xdr:rowOff>142875</xdr:rowOff>
    </xdr:to>
    <xdr:graphicFrame macro="">
      <xdr:nvGraphicFramePr>
        <xdr:cNvPr id="4" name="Chart 3">
          <a:extLst>
            <a:ext uri="{FF2B5EF4-FFF2-40B4-BE49-F238E27FC236}">
              <a16:creationId xmlns:a16="http://schemas.microsoft.com/office/drawing/2014/main" id="{3AC40FA2-9F8E-6704-94CB-46B8A59155B7}"/>
            </a:ext>
            <a:ext uri="{147F2762-F138-4A5C-976F-8EAC2B608ADB}">
              <a16:predDERef xmlns:a16="http://schemas.microsoft.com/office/drawing/2014/main" pred="{7274BD8D-E1BF-A8EF-EBC2-B7CB0D0D6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85725</xdr:colOff>
      <xdr:row>59</xdr:row>
      <xdr:rowOff>95250</xdr:rowOff>
    </xdr:from>
    <xdr:to>
      <xdr:col>9</xdr:col>
      <xdr:colOff>647700</xdr:colOff>
      <xdr:row>71</xdr:row>
      <xdr:rowOff>152400</xdr:rowOff>
    </xdr:to>
    <xdr:graphicFrame macro="">
      <xdr:nvGraphicFramePr>
        <xdr:cNvPr id="5" name="Chart 4">
          <a:extLst>
            <a:ext uri="{FF2B5EF4-FFF2-40B4-BE49-F238E27FC236}">
              <a16:creationId xmlns:a16="http://schemas.microsoft.com/office/drawing/2014/main" id="{7B501C8C-8617-A204-A586-8C4E93F289CB}"/>
            </a:ext>
            <a:ext uri="{147F2762-F138-4A5C-976F-8EAC2B608ADB}">
              <a16:predDERef xmlns:a16="http://schemas.microsoft.com/office/drawing/2014/main" pred="{3AC40FA2-9F8E-6704-94CB-46B8A5915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11</xdr:row>
      <xdr:rowOff>19050</xdr:rowOff>
    </xdr:from>
    <xdr:to>
      <xdr:col>8</xdr:col>
      <xdr:colOff>457200</xdr:colOff>
      <xdr:row>25</xdr:row>
      <xdr:rowOff>95250</xdr:rowOff>
    </xdr:to>
    <xdr:graphicFrame macro="">
      <xdr:nvGraphicFramePr>
        <xdr:cNvPr id="2" name="Chart 1">
          <a:extLst>
            <a:ext uri="{FF2B5EF4-FFF2-40B4-BE49-F238E27FC236}">
              <a16:creationId xmlns:a16="http://schemas.microsoft.com/office/drawing/2014/main" id="{7B275E4E-AC3F-812A-220D-4CF4EF254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371475</xdr:colOff>
      <xdr:row>50</xdr:row>
      <xdr:rowOff>171450</xdr:rowOff>
    </xdr:from>
    <xdr:to>
      <xdr:col>9</xdr:col>
      <xdr:colOff>47625</xdr:colOff>
      <xdr:row>65</xdr:row>
      <xdr:rowOff>57150</xdr:rowOff>
    </xdr:to>
    <xdr:graphicFrame macro="">
      <xdr:nvGraphicFramePr>
        <xdr:cNvPr id="2" name="Chart 1">
          <a:extLst>
            <a:ext uri="{FF2B5EF4-FFF2-40B4-BE49-F238E27FC236}">
              <a16:creationId xmlns:a16="http://schemas.microsoft.com/office/drawing/2014/main" id="{24B5C44A-1810-4448-82DE-5D163AB04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0.353060995367" createdVersion="8" refreshedVersion="8" minRefreshableVersion="3" recordCount="20" xr:uid="{217A89C6-6510-4746-A097-525A6D93B0A6}">
  <cacheSource type="worksheet">
    <worksheetSource ref="A1:E21" sheet="Sheet1"/>
  </cacheSource>
  <cacheFields count="5">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206333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1878EB-17E6-4918-BAE8-106A55D0BD36}" name="PivotTable1" cacheId="30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8" firstHeaderRow="1" firstDataRow="1" firstDataCol="1"/>
  <pivotFields count="5">
    <pivotField compact="0" numFmtId="22" outline="0" showAll="0"/>
    <pivotField axis="axisRow" compact="0" outline="0" showAll="0">
      <items count="5">
        <item x="2"/>
        <item x="3"/>
        <item x="1"/>
        <item x="0"/>
        <item t="default"/>
      </items>
    </pivotField>
    <pivotField compact="0" outline="0" showAll="0"/>
    <pivotField dataField="1" compact="0" outline="0" showAll="0"/>
    <pivotField compact="0" outline="0"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72FAE1-2886-4724-A851-8EF0FBFB3F0E}" name="PivotTable7" cacheId="30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B24" firstHeaderRow="1" firstDataRow="1" firstDataCol="1"/>
  <pivotFields count="5">
    <pivotField axis="axisRow" compact="0" numFmtId="22" outline="0" showAll="0">
      <items count="21">
        <item x="0"/>
        <item x="1"/>
        <item x="2"/>
        <item x="3"/>
        <item x="4"/>
        <item x="5"/>
        <item x="6"/>
        <item x="7"/>
        <item x="8"/>
        <item x="9"/>
        <item x="10"/>
        <item x="11"/>
        <item x="12"/>
        <item x="13"/>
        <item x="14"/>
        <item x="15"/>
        <item x="16"/>
        <item x="17"/>
        <item x="18"/>
        <item x="19"/>
        <item t="default"/>
      </items>
    </pivotField>
    <pivotField compact="0" outline="0" showAll="0"/>
    <pivotField compact="0" outline="0" showAll="0"/>
    <pivotField dataField="1" compact="0" outline="0" showAll="0"/>
    <pivotField compact="0" outline="0"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3"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B02DC2-C366-4C3C-8F48-39FFC2437DED}" name="PivotTable1" cacheId="30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50:B71" firstHeaderRow="1" firstDataRow="1" firstDataCol="1"/>
  <pivotFields count="5">
    <pivotField axis="axisRow" compact="0" numFmtId="22" outline="0" showAll="0">
      <items count="21">
        <item x="0"/>
        <item x="1"/>
        <item x="2"/>
        <item x="3"/>
        <item x="4"/>
        <item x="5"/>
        <item x="6"/>
        <item x="7"/>
        <item x="8"/>
        <item x="9"/>
        <item x="10"/>
        <item x="11"/>
        <item x="12"/>
        <item x="13"/>
        <item x="14"/>
        <item x="15"/>
        <item x="16"/>
        <item x="17"/>
        <item x="18"/>
        <item x="19"/>
        <item t="default"/>
      </items>
    </pivotField>
    <pivotField compact="0" outline="0" showAll="0"/>
    <pivotField compact="0" outline="0" showAll="0"/>
    <pivotField dataField="1" compact="0" outline="0" showAll="0"/>
    <pivotField compact="0" outline="0"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575961-235B-4FA7-A9C4-A1A53A285DDF}" name="PivotTable2" cacheId="30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H7:I12" firstHeaderRow="1" firstDataRow="1" firstDataCol="1"/>
  <pivotFields count="5">
    <pivotField compact="0" numFmtId="22" outline="0" showAll="0"/>
    <pivotField axis="axisRow" compact="0" outline="0" showAll="0">
      <items count="5">
        <item x="2"/>
        <item x="3"/>
        <item x="1"/>
        <item x="0"/>
        <item t="default"/>
      </items>
    </pivotField>
    <pivotField compact="0" outline="0" showAll="0"/>
    <pivotField dataField="1" compact="0" outline="0" showAll="0"/>
    <pivotField compact="0" outline="0"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A63B1C-00F9-4967-AF19-2CE7F5916EFC}" name="Table1" displayName="Table1" ref="A1:D16" totalsRowCount="1">
  <autoFilter ref="A1:D15" xr:uid="{81A63B1C-00F9-4967-AF19-2CE7F5916EFC}"/>
  <sortState xmlns:xlrd2="http://schemas.microsoft.com/office/spreadsheetml/2017/richdata2" ref="A2:D15">
    <sortCondition descending="1" ref="B1:B15"/>
  </sortState>
  <tableColumns count="4">
    <tableColumn id="1" xr3:uid="{E393B5C9-883C-49F3-A26B-23A0FD2ECD94}" name="items"/>
    <tableColumn id="2" xr3:uid="{A8A56ACB-001F-4206-BF08-99015B31A323}" name="price" totalsRowFunction="custom">
      <totalsRowFormula>SUM(B2:B15)</totalsRowFormula>
    </tableColumn>
    <tableColumn id="3" xr3:uid="{73B2B2DA-C200-40F4-AD69-63AD8C43A0AF}" name="dates"/>
    <tableColumn id="4" xr3:uid="{95AE8496-CF84-4BEB-BA47-6CBCC5A8EB94}" name="regions"/>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940044-A935-4C8B-80ED-616EDFA4D3B2}" name="Table2" displayName="Table2" ref="A24:H38" totalsRowShown="0">
  <autoFilter ref="A24:H38" xr:uid="{DE940044-A935-4C8B-80ED-616EDFA4D3B2}"/>
  <tableColumns count="8">
    <tableColumn id="1" xr3:uid="{61BA44CC-DD78-4E85-BCB3-0E5E93CC5382}" name="Column1"/>
    <tableColumn id="2" xr3:uid="{6A3E8B3B-CCE8-4FCB-8D96-54C0D5A5C0C4}" name="Column2"/>
    <tableColumn id="3" xr3:uid="{2C69B373-72C2-477A-8CF7-4E81894E3D0F}" name="Column3"/>
    <tableColumn id="4" xr3:uid="{EC695C92-CC64-41AE-838A-D1261352CB04}" name="Column4"/>
    <tableColumn id="5" xr3:uid="{3D8108B2-01C9-47B9-8E1B-8B982D2365BC}" name="Column5"/>
    <tableColumn id="6" xr3:uid="{FC746262-ADBC-4916-80EC-3596AA38D2D5}" name="Column6"/>
    <tableColumn id="7" xr3:uid="{BB0B0167-E053-44ED-A733-6D2FE0FB245D}" name="Column7"/>
    <tableColumn id="8" xr3:uid="{49F94A56-D03B-4EC1-8028-4A9BD50373A2}" name="Column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BEE3D0-FDC7-4829-81B1-49B395F65C92}" name="Table3" displayName="Table3" ref="I40:J43" totalsRowShown="0" headerRowDxfId="42" dataDxfId="41">
  <autoFilter ref="I40:J43" xr:uid="{71BEE3D0-FDC7-4829-81B1-49B395F65C92}"/>
  <tableColumns count="2">
    <tableColumn id="1" xr3:uid="{955DED00-3987-417C-9751-CB1DB45217B4}" name="Column1" dataDxfId="40"/>
    <tableColumn id="2" xr3:uid="{29C548EE-8025-469F-8A7D-EB1878716C17}" name="Column2" dataDxfId="3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6B8A08-7400-4A98-9617-0BDCC307B978}" name="Table4" displayName="Table4" ref="B40:F42" totalsRowShown="0" headerRowDxfId="38">
  <autoFilter ref="B40:F42" xr:uid="{756B8A08-7400-4A98-9617-0BDCC307B978}"/>
  <tableColumns count="5">
    <tableColumn id="1" xr3:uid="{36631441-42BB-4F86-AB1D-0B6A2C6FB1A7}" name="Column1"/>
    <tableColumn id="2" xr3:uid="{5A770D43-8DAF-40C1-B644-C4EABC4ED69C}" name="Column2"/>
    <tableColumn id="3" xr3:uid="{50716105-8011-4C6F-87FD-0605A78062D7}" name="Column3">
      <calculatedColumnFormula>TODAY()</calculatedColumnFormula>
    </tableColumn>
    <tableColumn id="4" xr3:uid="{E802FFA6-7EF7-40A6-84DD-EFF02362EE26}" name="Column4">
      <calculatedColumnFormula>NOW()</calculatedColumnFormula>
    </tableColumn>
    <tableColumn id="5" xr3:uid="{2DD2ED6A-4CF1-422C-8CD6-FEA2A83030F6}" name="Column5" dataDxfId="37">
      <calculatedColumnFormula>DATE(Table3[[#This Row],[Column1]],I41,I42)</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FB4881-96A2-4BAD-9AC3-3429838A15EA}" name="Table5" displayName="Table5" ref="G45:H48" totalsRowShown="0" dataDxfId="36">
  <autoFilter ref="G45:H48" xr:uid="{8BFB4881-96A2-4BAD-9AC3-3429838A15EA}"/>
  <tableColumns count="2">
    <tableColumn id="1" xr3:uid="{9FEEB7DC-43A1-4299-A79B-16E5A7423B85}" name="Column1" dataDxfId="35"/>
    <tableColumn id="2" xr3:uid="{4E2A173F-6DC2-4839-9A9E-0956FE647CE9}" name="Column2" dataDxfId="34">
      <calculatedColumnFormula>MONTH(F41)</calculatedColumnFormula>
    </tableColumn>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7216A4-3FDD-4337-B971-6376EA190699}" name="Table6" displayName="Table6" ref="C52:F57" totalsRowShown="0" headerRowDxfId="33">
  <autoFilter ref="C52:F57" xr:uid="{E67216A4-3FDD-4337-B971-6376EA190699}"/>
  <tableColumns count="4">
    <tableColumn id="1" xr3:uid="{2532BF8F-972B-4DDB-BA33-614E63B7E96F}" name="Column1" dataDxfId="32"/>
    <tableColumn id="2" xr3:uid="{9F584A43-5F01-4DF5-8705-23FD609F42E1}" name="Column2"/>
    <tableColumn id="3" xr3:uid="{92C4F012-E271-451E-941A-F35E1A78E780}" name="Column3"/>
    <tableColumn id="4" xr3:uid="{12296A12-82B8-4C53-91F5-CB6DFE48C211}" name="Column4" dataDxfId="31"/>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6B8318-15C9-4C48-BDCA-E21D7F4D2C50}" name="Table7" displayName="Table7" ref="A1:E5" totalsRowShown="0">
  <autoFilter ref="A1:E5" xr:uid="{5F6B8318-15C9-4C48-BDCA-E21D7F4D2C50}"/>
  <tableColumns count="5">
    <tableColumn id="1" xr3:uid="{14D39D5A-5B2B-45E8-A1B8-C149310601E4}" name="start date" dataDxfId="30"/>
    <tableColumn id="2" xr3:uid="{FDD6BFB0-3144-498A-A551-5E4B42AA6F09}" name="end date" dataDxfId="29"/>
    <tableColumn id="3" xr3:uid="{DEF14EF0-8F74-47CA-99DE-EF0C062C2E1E}" name="without holidays" dataDxfId="28">
      <calculatedColumnFormula>NETWORKDAYS(Table7[[#This Row],[start date]],Table7[[#This Row],[end date]])</calculatedColumnFormula>
    </tableColumn>
    <tableColumn id="4" xr3:uid="{A5F31926-FB37-4286-99D5-C5B4F6DF576D}" name="with holidays" dataDxfId="27">
      <calculatedColumnFormula>NETWORKDAYS(Table7[[#This Row],[start date]],Table7[[#This Row],[end date]],$A$7:$A$8)</calculatedColumnFormula>
    </tableColumn>
    <tableColumn id="5" xr3:uid="{F4C2FF12-69B7-44B1-8561-5D21EEA92070}" name="Column1" dataDxfId="26"/>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844D8B2-E61A-4F8A-A918-F5E472E6A926}" name="Table8" displayName="Table8" ref="A61:D70" totalsRowShown="0" headerRowDxfId="25">
  <autoFilter ref="A61:D70" xr:uid="{6844D8B2-E61A-4F8A-A918-F5E472E6A926}"/>
  <tableColumns count="4">
    <tableColumn id="1" xr3:uid="{28C381A3-BF90-4350-93B7-E3993496EE5E}" name="ITEMS"/>
    <tableColumn id="2" xr3:uid="{6B1C8B02-5AF9-4DBA-B5D0-C5A38E61CA7D}" name="PRICES" dataDxfId="24"/>
    <tableColumn id="3" xr3:uid="{F910320A-0BB7-4FA7-9258-EF218A9A7363}" name="DATES" dataDxfId="23"/>
    <tableColumn id="4" xr3:uid="{F577DFE3-3EE0-4430-90F5-DA9E0E171272}" name="REGIONS"/>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50E631C-A09A-46CD-BEDF-366837269CEB}" name="Table9" displayName="Table9" ref="A1:F15" totalsRowShown="0">
  <autoFilter ref="A1:F15" xr:uid="{550E631C-A09A-46CD-BEDF-366837269CEB}"/>
  <tableColumns count="6">
    <tableColumn id="1" xr3:uid="{BD72D289-183C-4680-BE8B-A9CF4EBB2DF1}" name="Date" dataDxfId="18"/>
    <tableColumn id="2" xr3:uid="{02064892-6EA4-4ADC-96B8-BADD8866ECA4}" name="Months"/>
    <tableColumn id="3" xr3:uid="{9754C6CA-8FDB-43C4-A4FA-7D9D4F3B15CC}" name="Items "/>
    <tableColumn id="4" xr3:uid="{174BF291-5510-4692-AD9E-2B1BC4D40269}" name="Cost price" dataDxfId="17"/>
    <tableColumn id="6" xr3:uid="{CD2DA50D-B6FB-4ACC-B6E2-5FE40A47D982}" name="Column1" dataDxfId="16"/>
    <tableColumn id="5" xr3:uid="{BBFC86EE-EDEE-4F65-B341-2E4981AEEE14}" name="Cost price2" dataDxfId="15"/>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8869F10-52C1-474C-9426-9063B7A31919}" name="Table10" displayName="Table10" ref="H24:R44" totalsRowShown="0" headerRowDxfId="13" dataDxfId="12" tableBorderDxfId="11">
  <autoFilter ref="H24:R44" xr:uid="{08869F10-52C1-474C-9426-9063B7A31919}"/>
  <tableColumns count="11">
    <tableColumn id="1" xr3:uid="{AD511097-B6E3-4A29-8D13-FB3AC5544771}" name="Date" dataDxfId="10"/>
    <tableColumn id="2" xr3:uid="{D0709BC0-7ACF-46DA-BCBE-ADDD2D4BBE88}" name="Region" dataDxfId="9"/>
    <tableColumn id="3" xr3:uid="{084C8BBE-5FC8-4DDB-9338-48CBDD59334E}" name="Product" dataDxfId="8"/>
    <tableColumn id="4" xr3:uid="{2BC2A3D8-42C9-43B6-862E-F030828108E1}" name="Sales" dataDxfId="7"/>
    <tableColumn id="5" xr3:uid="{6F4575BB-2564-43EF-B857-BB92096C5113}" name="Quantity" dataDxfId="6"/>
    <tableColumn id="12" xr3:uid="{476C6E85-2CAE-43FF-8850-88D97387109E}" name="Column1" dataDxfId="5"/>
    <tableColumn id="7" xr3:uid="{E1CFC181-D484-40AA-8D40-B863DB34A765}" name="Date2" dataDxfId="4"/>
    <tableColumn id="8" xr3:uid="{4F57905F-2D50-430F-9A4B-B6B5DBB2F046}" name="Region3" dataDxfId="3"/>
    <tableColumn id="9" xr3:uid="{0728DF03-46A0-4BF8-9486-1F3421DBC0AB}" name="Product4" dataDxfId="2"/>
    <tableColumn id="10" xr3:uid="{72CCE81D-27B4-41C7-8882-9D612ADA6809}" name="Sales5" dataDxfId="1"/>
    <tableColumn id="11" xr3:uid="{5AC0E3A7-015E-4052-9BFA-C5074348FA87}" name="Quantity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ustom 101">
      <a:majorFont>
        <a:latin typeface="Aptos Narrow"/>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upport.microsoft.com/en-us/office/agent-mode-in-excel-a2fd6fe4-97ac-416b-b89a-22f4d1357c7a" TargetMode="External"/><Relationship Id="rId2" Type="http://schemas.openxmlformats.org/officeDocument/2006/relationships/hyperlink" Target="https://www.microsoft.com/en-us/microsoft-365-copilot/pricing/individuals?ocid=cmmeliqokvl" TargetMode="External"/><Relationship Id="rId1" Type="http://schemas.openxmlformats.org/officeDocument/2006/relationships/hyperlink" Target="https://www.microsoft.com/en-us/microsoft-365/copilot-learning-center"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80FD7-FD79-4A23-BC17-4F17A1EEDD87}">
  <sheetPr>
    <pageSetUpPr autoPageBreaks="0" fitToPage="1"/>
  </sheetPr>
  <dimension ref="A1:E30"/>
  <sheetViews>
    <sheetView showGridLines="0" topLeftCell="A26" zoomScaleNormal="100" zoomScaleSheetLayoutView="70" workbookViewId="0">
      <selection sqref="A1:B1"/>
    </sheetView>
  </sheetViews>
  <sheetFormatPr defaultRowHeight="14.45"/>
  <cols>
    <col min="1" max="1" width="5.625" customWidth="1"/>
    <col min="2" max="2" width="129.375" customWidth="1"/>
  </cols>
  <sheetData>
    <row r="1" spans="1:5" ht="20.45" customHeight="1">
      <c r="A1" s="142"/>
      <c r="B1" s="142"/>
      <c r="C1" s="13"/>
      <c r="D1" s="13"/>
      <c r="E1" s="13"/>
    </row>
    <row r="2" spans="1:5" ht="85.5" customHeight="1">
      <c r="A2" s="140" t="s">
        <v>0</v>
      </c>
      <c r="B2" s="141"/>
      <c r="C2" s="13"/>
      <c r="D2" s="13"/>
      <c r="E2" s="13"/>
    </row>
    <row r="3" spans="1:5" ht="42">
      <c r="A3" s="6"/>
      <c r="B3" s="14" t="s">
        <v>1</v>
      </c>
      <c r="C3" s="13"/>
      <c r="D3" s="13"/>
      <c r="E3" s="13"/>
    </row>
    <row r="4" spans="1:5" ht="27.6" customHeight="1">
      <c r="A4" s="10"/>
      <c r="B4" s="15" t="s">
        <v>2</v>
      </c>
      <c r="C4" s="13"/>
      <c r="D4" s="13"/>
      <c r="E4" s="13"/>
    </row>
    <row r="5" spans="1:5" ht="34.5" customHeight="1">
      <c r="A5" s="7"/>
      <c r="B5" s="8"/>
      <c r="C5" s="13"/>
      <c r="D5" s="13"/>
      <c r="E5" s="13"/>
    </row>
    <row r="6" spans="1:5">
      <c r="B6" s="1"/>
    </row>
    <row r="7" spans="1:5" s="9" customFormat="1" ht="24.95" customHeight="1">
      <c r="B7" s="16" t="s">
        <v>3</v>
      </c>
    </row>
    <row r="8" spans="1:5" ht="31.5" customHeight="1">
      <c r="B8" s="17" t="s">
        <v>4</v>
      </c>
      <c r="E8" s="3"/>
    </row>
    <row r="9" spans="1:5" ht="24.95" customHeight="1">
      <c r="B9" s="18" t="s">
        <v>5</v>
      </c>
      <c r="E9" s="4"/>
    </row>
    <row r="10" spans="1:5" ht="24.95" customHeight="1">
      <c r="B10" s="18" t="s">
        <v>6</v>
      </c>
      <c r="E10" s="4"/>
    </row>
    <row r="11" spans="1:5" ht="24.95" customHeight="1">
      <c r="B11" s="18" t="s">
        <v>7</v>
      </c>
    </row>
    <row r="12" spans="1:5" ht="15" thickBot="1">
      <c r="B12" s="11"/>
    </row>
    <row r="14" spans="1:5" ht="24.95" customHeight="1">
      <c r="B14" s="16" t="s">
        <v>8</v>
      </c>
    </row>
    <row r="15" spans="1:5" ht="31.15">
      <c r="B15" s="19" t="s">
        <v>9</v>
      </c>
    </row>
    <row r="16" spans="1:5">
      <c r="B16" s="20"/>
    </row>
    <row r="17" spans="2:2" ht="24.95" customHeight="1">
      <c r="B17" s="16" t="s">
        <v>10</v>
      </c>
    </row>
    <row r="18" spans="2:2" ht="31.15">
      <c r="B18" s="21" t="s">
        <v>11</v>
      </c>
    </row>
    <row r="19" spans="2:2">
      <c r="B19" s="20"/>
    </row>
    <row r="20" spans="2:2" ht="24.95" customHeight="1">
      <c r="B20" s="16" t="s">
        <v>12</v>
      </c>
    </row>
    <row r="21" spans="2:2" ht="31.15">
      <c r="B21" s="21" t="s">
        <v>13</v>
      </c>
    </row>
    <row r="22" spans="2:2">
      <c r="B22" s="20"/>
    </row>
    <row r="23" spans="2:2" ht="24.95" customHeight="1">
      <c r="B23" s="16" t="s">
        <v>14</v>
      </c>
    </row>
    <row r="24" spans="2:2" ht="31.15">
      <c r="B24" s="21" t="s">
        <v>15</v>
      </c>
    </row>
    <row r="25" spans="2:2" ht="15" thickBot="1">
      <c r="B25" s="12"/>
    </row>
    <row r="26" spans="2:2">
      <c r="B26" s="2"/>
    </row>
    <row r="27" spans="2:2" ht="24.95" customHeight="1">
      <c r="B27" s="16" t="s">
        <v>16</v>
      </c>
    </row>
    <row r="28" spans="2:2" ht="15.95" customHeight="1">
      <c r="B28" s="22" t="s">
        <v>17</v>
      </c>
    </row>
    <row r="29" spans="2:2" ht="20.100000000000001" customHeight="1">
      <c r="B29" s="22" t="s">
        <v>18</v>
      </c>
    </row>
    <row r="30" spans="2:2" ht="35.1" customHeight="1">
      <c r="B30" s="5"/>
    </row>
  </sheetData>
  <mergeCells count="2">
    <mergeCell ref="A2:B2"/>
    <mergeCell ref="A1:B1"/>
  </mergeCells>
  <hyperlinks>
    <hyperlink ref="B28" r:id="rId1" xr:uid="{6B2F1AA1-8CC8-4962-B435-4552F8C16D69}"/>
    <hyperlink ref="B4" r:id="rId2" xr:uid="{0157C05D-26F2-4F30-823A-25D0DCF1FB12}"/>
    <hyperlink ref="B29" r:id="rId3" xr:uid="{1F2CEEB7-1E7F-4062-B2D9-509B8FA1F936}"/>
  </hyperlinks>
  <pageMargins left="0.7" right="0.7" top="0.75" bottom="0.75" header="0.3" footer="0.3"/>
  <pageSetup scale="53" orientation="portrait" r:id="rId4"/>
  <colBreaks count="1" manualBreakCount="1">
    <brk id="2" max="29" man="1"/>
  </colBreaks>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3596B-DAD3-4B5F-81D5-07D84A9BEAEB}">
  <sheetPr>
    <tabColor rgb="FFFFC000"/>
  </sheetPr>
  <dimension ref="A1:I15"/>
  <sheetViews>
    <sheetView workbookViewId="0">
      <selection activeCell="D5" sqref="D5"/>
    </sheetView>
  </sheetViews>
  <sheetFormatPr defaultRowHeight="15"/>
  <cols>
    <col min="1" max="1" width="11.75" style="23" customWidth="1"/>
    <col min="2" max="2" width="11.25" style="23" customWidth="1"/>
    <col min="3" max="3" width="12" style="23" bestFit="1" customWidth="1"/>
    <col min="4" max="5" width="9" style="23"/>
    <col min="6" max="6" width="13.625" style="23" bestFit="1" customWidth="1"/>
    <col min="7" max="16384" width="9" style="23"/>
  </cols>
  <sheetData>
    <row r="1" spans="1:9">
      <c r="A1" s="25" t="s">
        <v>19</v>
      </c>
      <c r="B1" s="26" t="s">
        <v>20</v>
      </c>
      <c r="C1" s="27">
        <v>46088</v>
      </c>
      <c r="D1" s="28"/>
      <c r="E1" s="28"/>
      <c r="F1" s="29" t="s">
        <v>21</v>
      </c>
      <c r="G1" s="28"/>
    </row>
    <row r="2" spans="1:9">
      <c r="A2" s="25" t="s">
        <v>22</v>
      </c>
      <c r="B2" s="26" t="s">
        <v>23</v>
      </c>
      <c r="C2" s="27">
        <v>46089</v>
      </c>
      <c r="D2" s="28"/>
      <c r="E2" s="28"/>
      <c r="F2" s="28"/>
      <c r="G2" s="30"/>
    </row>
    <row r="3" spans="1:9">
      <c r="A3" s="25" t="s">
        <v>24</v>
      </c>
      <c r="B3" s="26" t="s">
        <v>25</v>
      </c>
      <c r="C3" s="27">
        <v>46090</v>
      </c>
      <c r="D3" s="28"/>
      <c r="E3" s="28"/>
      <c r="F3" s="31">
        <v>3999</v>
      </c>
      <c r="G3" s="28"/>
    </row>
    <row r="4" spans="1:9" ht="16.5">
      <c r="A4" s="25" t="s">
        <v>26</v>
      </c>
      <c r="B4" s="26" t="s">
        <v>27</v>
      </c>
      <c r="C4" s="27">
        <v>46091</v>
      </c>
      <c r="D4" s="28"/>
      <c r="E4" s="28"/>
      <c r="F4" s="32">
        <v>677</v>
      </c>
      <c r="G4" s="28"/>
      <c r="I4" s="24"/>
    </row>
    <row r="5" spans="1:9">
      <c r="A5" s="25" t="s">
        <v>28</v>
      </c>
      <c r="B5" s="26" t="s">
        <v>29</v>
      </c>
      <c r="C5" s="27">
        <v>46092</v>
      </c>
      <c r="D5" s="28"/>
      <c r="E5" s="28"/>
      <c r="F5" s="32">
        <v>567</v>
      </c>
      <c r="G5" s="28"/>
    </row>
    <row r="6" spans="1:9">
      <c r="A6" s="25" t="s">
        <v>30</v>
      </c>
      <c r="B6" s="26" t="s">
        <v>31</v>
      </c>
      <c r="C6" s="27">
        <v>46093</v>
      </c>
      <c r="D6" s="28"/>
      <c r="E6" s="28"/>
      <c r="F6" s="32">
        <v>799</v>
      </c>
      <c r="G6" s="28"/>
    </row>
    <row r="7" spans="1:9">
      <c r="A7" s="25" t="s">
        <v>32</v>
      </c>
      <c r="B7" s="26" t="s">
        <v>33</v>
      </c>
      <c r="C7" s="27">
        <v>46094</v>
      </c>
      <c r="D7" s="28"/>
      <c r="E7" s="28"/>
      <c r="F7" s="32">
        <v>7998</v>
      </c>
      <c r="G7" s="28"/>
    </row>
    <row r="8" spans="1:9">
      <c r="A8" s="25" t="s">
        <v>34</v>
      </c>
      <c r="B8" s="28"/>
      <c r="C8" s="27">
        <v>46095</v>
      </c>
      <c r="D8" s="28"/>
      <c r="E8" s="28"/>
      <c r="F8" s="32">
        <v>6788</v>
      </c>
      <c r="G8" s="28"/>
    </row>
    <row r="9" spans="1:9" ht="15.75" customHeight="1">
      <c r="A9" s="25" t="s">
        <v>35</v>
      </c>
      <c r="B9" s="28"/>
      <c r="C9" s="27">
        <v>46096</v>
      </c>
      <c r="D9" s="28"/>
      <c r="E9" s="28"/>
      <c r="F9" s="32"/>
      <c r="G9" s="28"/>
    </row>
    <row r="10" spans="1:9">
      <c r="A10" s="25" t="s">
        <v>36</v>
      </c>
      <c r="B10" s="28"/>
      <c r="C10" s="27">
        <v>46097</v>
      </c>
      <c r="D10" s="28"/>
      <c r="E10" s="28"/>
      <c r="F10" s="32">
        <v>798</v>
      </c>
      <c r="G10" s="28"/>
    </row>
    <row r="11" spans="1:9">
      <c r="A11" s="25" t="s">
        <v>37</v>
      </c>
      <c r="B11" s="28"/>
      <c r="C11" s="27">
        <v>46098</v>
      </c>
      <c r="D11" s="28"/>
      <c r="E11" s="28"/>
      <c r="F11" s="32">
        <v>788</v>
      </c>
      <c r="G11" s="28"/>
    </row>
    <row r="12" spans="1:9">
      <c r="A12" s="25" t="s">
        <v>38</v>
      </c>
      <c r="B12" s="28"/>
      <c r="C12" s="27">
        <v>46099</v>
      </c>
      <c r="D12" s="28"/>
      <c r="E12" s="28"/>
      <c r="F12" s="32">
        <v>976796</v>
      </c>
      <c r="G12" s="28"/>
    </row>
    <row r="13" spans="1:9">
      <c r="A13" s="28"/>
      <c r="B13" s="28"/>
      <c r="C13" s="28"/>
      <c r="D13" s="28"/>
      <c r="E13" s="28"/>
      <c r="F13" s="28"/>
      <c r="G13" s="28"/>
    </row>
    <row r="14" spans="1:9">
      <c r="A14" s="28"/>
      <c r="B14" s="28"/>
      <c r="C14" s="28"/>
      <c r="D14" s="28"/>
      <c r="E14" s="28"/>
      <c r="F14" s="28"/>
      <c r="G14" s="28"/>
    </row>
    <row r="15" spans="1:9">
      <c r="A15" s="28"/>
      <c r="B15" s="28"/>
      <c r="C15" s="28"/>
      <c r="D15" s="28"/>
      <c r="E15" s="28"/>
      <c r="F15" s="28"/>
      <c r="G15" s="2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CDD36-EEE1-46D5-9F6C-A9625FE2A7B9}">
  <dimension ref="A1:I65"/>
  <sheetViews>
    <sheetView topLeftCell="A14" workbookViewId="0">
      <selection activeCell="C58" sqref="C58"/>
    </sheetView>
  </sheetViews>
  <sheetFormatPr defaultRowHeight="15"/>
  <cols>
    <col min="1" max="1" width="17.75" bestFit="1" customWidth="1"/>
    <col min="2" max="2" width="17.375" customWidth="1"/>
    <col min="3" max="3" width="13.75" customWidth="1"/>
    <col min="4" max="4" width="15.25" customWidth="1"/>
    <col min="5" max="5" width="13.25" bestFit="1" customWidth="1"/>
    <col min="6" max="6" width="15.75" bestFit="1" customWidth="1"/>
    <col min="7" max="7" width="20.25" customWidth="1"/>
    <col min="8" max="8" width="15.875" customWidth="1"/>
    <col min="9" max="9" width="15.625" customWidth="1"/>
  </cols>
  <sheetData>
    <row r="1" spans="1:9" ht="29.25">
      <c r="A1" s="35" t="s">
        <v>39</v>
      </c>
      <c r="B1" s="35" t="s">
        <v>40</v>
      </c>
      <c r="C1" s="35" t="s">
        <v>41</v>
      </c>
      <c r="D1" s="35" t="s">
        <v>42</v>
      </c>
      <c r="G1" s="36" t="s">
        <v>43</v>
      </c>
      <c r="H1" s="37">
        <f>5000+7000+8000</f>
        <v>20000</v>
      </c>
    </row>
    <row r="2" spans="1:9">
      <c r="A2" t="s">
        <v>44</v>
      </c>
      <c r="B2">
        <v>45000.896999999997</v>
      </c>
      <c r="C2" s="33">
        <v>45304</v>
      </c>
      <c r="D2" t="s">
        <v>45</v>
      </c>
      <c r="G2" s="37" t="s">
        <v>46</v>
      </c>
      <c r="H2" s="38"/>
    </row>
    <row r="3" spans="1:9">
      <c r="A3" t="s">
        <v>47</v>
      </c>
      <c r="B3">
        <v>30000</v>
      </c>
      <c r="C3" s="33">
        <v>45306</v>
      </c>
      <c r="D3" t="s">
        <v>48</v>
      </c>
      <c r="G3" s="37" t="s">
        <v>49</v>
      </c>
      <c r="H3" s="37">
        <f>PRODUCT(B3:B5)</f>
        <v>22500000000000</v>
      </c>
    </row>
    <row r="4" spans="1:9">
      <c r="A4" t="s">
        <v>50</v>
      </c>
      <c r="B4">
        <v>30000</v>
      </c>
      <c r="C4" s="33">
        <v>45304</v>
      </c>
      <c r="D4" t="s">
        <v>51</v>
      </c>
      <c r="G4" s="37" t="s">
        <v>52</v>
      </c>
      <c r="H4" s="37">
        <f>MIN(Table1[price])</f>
        <v>5000</v>
      </c>
      <c r="I4">
        <f>SUM(B5:B12)</f>
        <v>120000</v>
      </c>
    </row>
    <row r="5" spans="1:9">
      <c r="A5" t="s">
        <v>53</v>
      </c>
      <c r="B5">
        <v>25000</v>
      </c>
      <c r="C5" s="33">
        <v>45311</v>
      </c>
      <c r="D5" t="s">
        <v>51</v>
      </c>
      <c r="G5" s="37" t="s">
        <v>54</v>
      </c>
      <c r="H5" s="37">
        <f>MAX(Table1[price])</f>
        <v>45000.896999999997</v>
      </c>
    </row>
    <row r="6" spans="1:9">
      <c r="A6" t="s">
        <v>55</v>
      </c>
      <c r="B6">
        <v>25000</v>
      </c>
      <c r="C6" s="33">
        <v>45301</v>
      </c>
      <c r="D6" t="s">
        <v>56</v>
      </c>
      <c r="G6" s="37" t="s">
        <v>57</v>
      </c>
      <c r="H6" s="37">
        <f>AVERAGE(B5:B7)</f>
        <v>22666.666666666668</v>
      </c>
    </row>
    <row r="7" spans="1:9">
      <c r="A7" t="s">
        <v>58</v>
      </c>
      <c r="B7">
        <v>18000</v>
      </c>
      <c r="C7" s="33">
        <v>45310</v>
      </c>
      <c r="D7" t="s">
        <v>56</v>
      </c>
      <c r="G7" s="37" t="s">
        <v>57</v>
      </c>
      <c r="H7" s="37">
        <f>AVERAGE(Table1[price])</f>
        <v>17357.564071428573</v>
      </c>
    </row>
    <row r="8" spans="1:9">
      <c r="A8" t="s">
        <v>59</v>
      </c>
      <c r="B8">
        <v>15000</v>
      </c>
      <c r="C8" s="33">
        <v>45294</v>
      </c>
      <c r="D8" t="s">
        <v>56</v>
      </c>
      <c r="G8" s="37" t="s">
        <v>60</v>
      </c>
      <c r="H8" s="37">
        <f>SUM(Table1[price])</f>
        <v>243005.897</v>
      </c>
    </row>
    <row r="9" spans="1:9">
      <c r="A9" t="s">
        <v>61</v>
      </c>
      <c r="B9">
        <v>10000</v>
      </c>
      <c r="C9" s="33">
        <v>45292</v>
      </c>
      <c r="D9" t="s">
        <v>56</v>
      </c>
      <c r="G9" s="37" t="s">
        <v>62</v>
      </c>
      <c r="H9" s="37">
        <f>COUNT(Table1[[#Data],[#Totals],[price]])</f>
        <v>15</v>
      </c>
    </row>
    <row r="10" spans="1:9">
      <c r="A10" t="s">
        <v>63</v>
      </c>
      <c r="B10">
        <v>10000</v>
      </c>
      <c r="C10" s="33">
        <v>45313</v>
      </c>
      <c r="D10" t="s">
        <v>64</v>
      </c>
      <c r="G10" s="37" t="s">
        <v>65</v>
      </c>
      <c r="H10" s="37">
        <f>COUNTBLANK(B2:B16)</f>
        <v>0</v>
      </c>
    </row>
    <row r="11" spans="1:9">
      <c r="A11" t="s">
        <v>66</v>
      </c>
      <c r="B11">
        <v>9000</v>
      </c>
      <c r="C11" s="33">
        <v>45297</v>
      </c>
      <c r="D11" t="s">
        <v>51</v>
      </c>
    </row>
    <row r="12" spans="1:9">
      <c r="A12" t="s">
        <v>67</v>
      </c>
      <c r="B12">
        <v>8000</v>
      </c>
      <c r="C12" s="33">
        <v>45301</v>
      </c>
      <c r="D12" t="s">
        <v>45</v>
      </c>
    </row>
    <row r="13" spans="1:9">
      <c r="A13" t="s">
        <v>63</v>
      </c>
      <c r="B13">
        <v>7000</v>
      </c>
      <c r="C13" s="33">
        <v>45308</v>
      </c>
      <c r="D13" t="s">
        <v>45</v>
      </c>
    </row>
    <row r="14" spans="1:9">
      <c r="A14" t="s">
        <v>68</v>
      </c>
      <c r="B14">
        <v>6005</v>
      </c>
      <c r="C14" s="33">
        <v>45297</v>
      </c>
      <c r="D14" t="s">
        <v>45</v>
      </c>
    </row>
    <row r="15" spans="1:9">
      <c r="A15" t="s">
        <v>69</v>
      </c>
      <c r="B15">
        <v>5000</v>
      </c>
      <c r="C15" s="33">
        <v>45299</v>
      </c>
      <c r="D15" t="s">
        <v>64</v>
      </c>
    </row>
    <row r="16" spans="1:9">
      <c r="B16">
        <f>SUM(B2:B15)</f>
        <v>243005.897</v>
      </c>
    </row>
    <row r="18" spans="1:8">
      <c r="A18" s="143" t="s">
        <v>70</v>
      </c>
      <c r="B18" s="143"/>
      <c r="C18" s="143"/>
      <c r="D18" s="143"/>
      <c r="E18" s="143"/>
    </row>
    <row r="19" spans="1:8">
      <c r="A19" t="s">
        <v>71</v>
      </c>
    </row>
    <row r="20" spans="1:8">
      <c r="A20" t="s">
        <v>72</v>
      </c>
      <c r="B20">
        <f>ROUND(B2,2)</f>
        <v>45000.9</v>
      </c>
    </row>
    <row r="21" spans="1:8">
      <c r="A21" t="s">
        <v>73</v>
      </c>
    </row>
    <row r="22" spans="1:8">
      <c r="A22" t="s">
        <v>74</v>
      </c>
    </row>
    <row r="24" spans="1:8">
      <c r="A24" s="39" t="s">
        <v>75</v>
      </c>
      <c r="B24" s="39" t="s">
        <v>76</v>
      </c>
      <c r="C24" s="39" t="s">
        <v>77</v>
      </c>
      <c r="D24" s="39" t="s">
        <v>78</v>
      </c>
      <c r="E24" s="39" t="s">
        <v>79</v>
      </c>
      <c r="F24" s="39" t="s">
        <v>80</v>
      </c>
      <c r="G24" s="39" t="s">
        <v>81</v>
      </c>
      <c r="H24" s="39" t="s">
        <v>82</v>
      </c>
    </row>
    <row r="25" spans="1:8">
      <c r="A25" s="39" t="s">
        <v>83</v>
      </c>
      <c r="B25" s="39"/>
      <c r="C25" s="39"/>
      <c r="D25" s="39"/>
      <c r="E25" s="39"/>
      <c r="F25" s="39"/>
      <c r="G25" s="39"/>
      <c r="H25" s="39"/>
    </row>
    <row r="26" spans="1:8" s="40" customFormat="1">
      <c r="A26" s="40" t="s">
        <v>84</v>
      </c>
      <c r="B26" s="40" t="s">
        <v>85</v>
      </c>
      <c r="C26" s="40" t="s">
        <v>86</v>
      </c>
      <c r="D26" s="40" t="s">
        <v>87</v>
      </c>
      <c r="E26" s="40" t="s">
        <v>88</v>
      </c>
      <c r="F26" s="40" t="s">
        <v>89</v>
      </c>
      <c r="G26" s="40" t="s">
        <v>90</v>
      </c>
    </row>
    <row r="27" spans="1:8">
      <c r="A27" t="s">
        <v>91</v>
      </c>
      <c r="B27" t="str">
        <f>UPPER(Table2[[#This Row],[Column1]])</f>
        <v>ASHISH SHARMA</v>
      </c>
      <c r="C27" t="str">
        <f>LOWER(Table2[[#This Row],[Column1]])</f>
        <v>ashish sharma</v>
      </c>
      <c r="D27" t="str">
        <f>PROPER(Table2[[#This Row],[Column1]])</f>
        <v>Ashish Sharma</v>
      </c>
      <c r="E27" t="str">
        <f>LEFT(Table2[[#This Row],[Column1]],8)</f>
        <v>Ashish S</v>
      </c>
      <c r="F27" t="str">
        <f>RIGHT(Table2[[#This Row],[Column1]],4)</f>
        <v>arma</v>
      </c>
      <c r="G27" s="23" t="str">
        <f>MID(Table2[[#This Row],[Column2]],2,4)</f>
        <v>SHIS</v>
      </c>
    </row>
    <row r="28" spans="1:8">
      <c r="A28" t="s">
        <v>92</v>
      </c>
      <c r="B28" t="str">
        <f>UPPER(Table2[[#This Row],[Column1]])</f>
        <v>AKASH NARWAR</v>
      </c>
      <c r="C28" t="str">
        <f>LOWER(Table2[[#This Row],[Column1]])</f>
        <v>akash narwar</v>
      </c>
      <c r="D28" t="str">
        <f>PROPER(Table2[[#This Row],[Column1]])</f>
        <v>Akash Narwar</v>
      </c>
      <c r="E28" t="str">
        <f>LEFT(Table2[[#This Row],[Column1]],8)</f>
        <v>Akash Na</v>
      </c>
      <c r="F28" t="str">
        <f>RIGHT(Table2[[#This Row],[Column1]],4)</f>
        <v>rwar</v>
      </c>
      <c r="G28" s="34" t="str">
        <f>MID(Table2[[#This Row],[Column2]],2,4)</f>
        <v>KASH</v>
      </c>
    </row>
    <row r="29" spans="1:8">
      <c r="A29" t="s">
        <v>93</v>
      </c>
      <c r="B29" t="str">
        <f>UPPER(Table2[[#This Row],[Column1]])</f>
        <v>ANKIT NARWAR</v>
      </c>
      <c r="C29" t="str">
        <f>LOWER(Table2[[#This Row],[Column1]])</f>
        <v>ankit narwar</v>
      </c>
      <c r="D29" t="str">
        <f>PROPER(Table2[[#This Row],[Column1]])</f>
        <v>Ankit Narwar</v>
      </c>
      <c r="E29" t="str">
        <f>LEFT(Table2[[#This Row],[Column1]],8)</f>
        <v>Ankit Na</v>
      </c>
      <c r="F29" t="str">
        <f>RIGHT(Table2[[#This Row],[Column1]],4)</f>
        <v>rwar</v>
      </c>
      <c r="G29" s="34" t="str">
        <f>MID(Table2[[#This Row],[Column2]],2,4)</f>
        <v>NKIT</v>
      </c>
    </row>
    <row r="30" spans="1:8">
      <c r="A30" t="s">
        <v>94</v>
      </c>
      <c r="B30" t="str">
        <f>UPPER(Table2[[#This Row],[Column1]])</f>
        <v>KARTIK GAUTUM</v>
      </c>
      <c r="C30" t="str">
        <f>LOWER(Table2[[#This Row],[Column1]])</f>
        <v>kartik gautum</v>
      </c>
      <c r="D30" t="str">
        <f>PROPER(Table2[[#This Row],[Column1]])</f>
        <v>Kartik Gautum</v>
      </c>
      <c r="E30" t="str">
        <f>LEFT(Table2[[#This Row],[Column1]],8)</f>
        <v>Kartik G</v>
      </c>
      <c r="F30" t="str">
        <f>RIGHT(Table2[[#This Row],[Column1]],4)</f>
        <v>utum</v>
      </c>
      <c r="G30" s="34" t="str">
        <f>MID(Table2[[#This Row],[Column2]],2,4)</f>
        <v>ARTI</v>
      </c>
    </row>
    <row r="31" spans="1:8">
      <c r="A31" t="s">
        <v>95</v>
      </c>
      <c r="B31" t="str">
        <f>UPPER(Table2[[#This Row],[Column1]])</f>
        <v>HEMANT HELPLINE</v>
      </c>
      <c r="C31" t="str">
        <f>LOWER(Table2[[#This Row],[Column1]])</f>
        <v>hemant helpline</v>
      </c>
      <c r="D31" t="str">
        <f>PROPER(Table2[[#This Row],[Column1]])</f>
        <v>Hemant Helpline</v>
      </c>
      <c r="E31" t="str">
        <f>LEFT(Table2[[#This Row],[Column1]],8)</f>
        <v>Hemant H</v>
      </c>
      <c r="F31" t="str">
        <f>RIGHT(Table2[[#This Row],[Column1]],4)</f>
        <v>line</v>
      </c>
      <c r="G31" s="34" t="str">
        <f>MID(Table2[[#This Row],[Column2]],2,4)</f>
        <v>EMAN</v>
      </c>
    </row>
    <row r="32" spans="1:8">
      <c r="A32" t="s">
        <v>96</v>
      </c>
      <c r="B32" t="str">
        <f>UPPER(Table2[[#This Row],[Column1]])</f>
        <v>MUKUL BHERUPIYA</v>
      </c>
      <c r="C32" t="str">
        <f>LOWER(Table2[[#This Row],[Column1]])</f>
        <v>mukul bherupiya</v>
      </c>
      <c r="D32" t="str">
        <f>PROPER(Table2[[#This Row],[Column1]])</f>
        <v>Mukul Bherupiya</v>
      </c>
      <c r="E32" t="str">
        <f>LEFT(Table2[[#This Row],[Column1]],8)</f>
        <v>Mukul Bh</v>
      </c>
      <c r="F32" t="str">
        <f>RIGHT(Table2[[#This Row],[Column1]],4)</f>
        <v>piya</v>
      </c>
      <c r="G32" s="34" t="str">
        <f>MID(Table2[[#This Row],[Column2]],2,4)</f>
        <v>UKUL</v>
      </c>
    </row>
    <row r="33" spans="1:7">
      <c r="A33" t="s">
        <v>97</v>
      </c>
      <c r="B33" t="str">
        <f>UPPER(Table2[[#This Row],[Column1]])</f>
        <v>AMAN KAPOR</v>
      </c>
      <c r="C33" t="str">
        <f>LOWER(Table2[[#This Row],[Column1]])</f>
        <v>aman kapor</v>
      </c>
      <c r="D33" t="str">
        <f>PROPER(Table2[[#This Row],[Column1]])</f>
        <v>Aman Kapor</v>
      </c>
      <c r="E33" t="str">
        <f>LEFT(Table2[[#This Row],[Column1]],8)</f>
        <v>Aman Kap</v>
      </c>
      <c r="F33" t="str">
        <f>RIGHT(Table2[[#This Row],[Column1]],4)</f>
        <v>apor</v>
      </c>
      <c r="G33" s="34" t="str">
        <f>MID(Table2[[#This Row],[Column2]],2,4)</f>
        <v xml:space="preserve">MAN </v>
      </c>
    </row>
    <row r="34" spans="1:7">
      <c r="A34" t="s">
        <v>98</v>
      </c>
      <c r="B34" t="str">
        <f>UPPER(Table2[[#This Row],[Column1]])</f>
        <v>SHIVAM INDOLIYA</v>
      </c>
      <c r="C34" t="str">
        <f>LOWER(Table2[[#This Row],[Column1]])</f>
        <v>shivam indoliya</v>
      </c>
      <c r="D34" t="str">
        <f>PROPER(Table2[[#This Row],[Column1]])</f>
        <v>Shivam Indoliya</v>
      </c>
      <c r="E34" t="str">
        <f>LEFT(Table2[[#This Row],[Column1]],8)</f>
        <v>Shivam I</v>
      </c>
      <c r="F34" t="str">
        <f>RIGHT(Table2[[#This Row],[Column1]],4)</f>
        <v>liya</v>
      </c>
      <c r="G34" s="34" t="str">
        <f>MID(Table2[[#This Row],[Column2]],2,4)</f>
        <v>HIVA</v>
      </c>
    </row>
    <row r="35" spans="1:7">
      <c r="A35" t="s">
        <v>99</v>
      </c>
      <c r="B35" t="str">
        <f>UPPER(Table2[[#This Row],[Column1]])</f>
        <v>GAURAV SISODIYA</v>
      </c>
      <c r="C35" t="str">
        <f>LOWER(Table2[[#This Row],[Column1]])</f>
        <v>gaurav sisodiya</v>
      </c>
      <c r="D35" t="str">
        <f>PROPER(Table2[[#This Row],[Column1]])</f>
        <v>Gaurav Sisodiya</v>
      </c>
      <c r="E35" t="str">
        <f>LEFT(Table2[[#This Row],[Column1]],8)</f>
        <v>Gaurav S</v>
      </c>
      <c r="F35" t="str">
        <f>RIGHT(Table2[[#This Row],[Column1]],4)</f>
        <v>diya</v>
      </c>
      <c r="G35" s="34" t="str">
        <f>MID(Table2[[#This Row],[Column2]],2,4)</f>
        <v>AURA</v>
      </c>
    </row>
    <row r="36" spans="1:7">
      <c r="A36" t="s">
        <v>100</v>
      </c>
      <c r="B36" t="str">
        <f>UPPER(Table2[[#This Row],[Column1]])</f>
        <v>ARJUN</v>
      </c>
      <c r="C36" t="str">
        <f>LOWER(Table2[[#This Row],[Column1]])</f>
        <v>arjun</v>
      </c>
      <c r="D36" t="str">
        <f>PROPER(Table2[[#This Row],[Column1]])</f>
        <v>Arjun</v>
      </c>
      <c r="E36" t="str">
        <f>LEFT(Table2[[#This Row],[Column1]],8)</f>
        <v>Arjun</v>
      </c>
      <c r="F36" t="str">
        <f>RIGHT(Table2[[#This Row],[Column1]],4)</f>
        <v>rjun</v>
      </c>
      <c r="G36" s="34" t="str">
        <f>MID(Table2[[#This Row],[Column2]],2,4)</f>
        <v>RJUN</v>
      </c>
    </row>
    <row r="37" spans="1:7">
      <c r="A37" t="s">
        <v>101</v>
      </c>
      <c r="B37" t="str">
        <f>UPPER(Table2[[#This Row],[Column1]])</f>
        <v>ARYAN</v>
      </c>
      <c r="C37" t="str">
        <f>LOWER(Table2[[#This Row],[Column1]])</f>
        <v>aryan</v>
      </c>
      <c r="D37" t="str">
        <f>PROPER(Table2[[#This Row],[Column1]])</f>
        <v>Aryan</v>
      </c>
      <c r="E37" t="str">
        <f>LEFT(Table2[[#This Row],[Column1]],8)</f>
        <v>Aryan</v>
      </c>
      <c r="F37" t="str">
        <f>RIGHT(Table2[[#This Row],[Column1]],4)</f>
        <v>ryan</v>
      </c>
      <c r="G37" s="34" t="str">
        <f>MID(Table2[[#This Row],[Column2]],2,4)</f>
        <v>RYAN</v>
      </c>
    </row>
    <row r="38" spans="1:7">
      <c r="A38" t="s">
        <v>102</v>
      </c>
      <c r="B38" t="str">
        <f>UPPER(Table2[[#This Row],[Column1]])</f>
        <v>HARSHIT JADON</v>
      </c>
      <c r="C38" t="str">
        <f>LOWER(Table2[[#This Row],[Column1]])</f>
        <v>harshit jadon</v>
      </c>
      <c r="D38" t="str">
        <f>PROPER(Table2[[#This Row],[Column1]])</f>
        <v>Harshit Jadon</v>
      </c>
      <c r="E38" t="str">
        <f>LEFT(Table2[[#This Row],[Column1]],8)</f>
        <v xml:space="preserve">Harshit </v>
      </c>
      <c r="F38" t="str">
        <f>RIGHT(Table2[[#This Row],[Column1]],4)</f>
        <v>adon</v>
      </c>
      <c r="G38" s="34" t="str">
        <f>MID(Table2[[#This Row],[Column2]],2,4)</f>
        <v>ARSH</v>
      </c>
    </row>
    <row r="43" spans="1:7" s="40" customFormat="1">
      <c r="A43" s="41" t="s">
        <v>84</v>
      </c>
      <c r="B43" s="41" t="s">
        <v>103</v>
      </c>
      <c r="C43" s="41" t="s">
        <v>104</v>
      </c>
      <c r="D43" s="41" t="s">
        <v>103</v>
      </c>
      <c r="E43" s="41" t="s">
        <v>105</v>
      </c>
      <c r="F43" s="41" t="s">
        <v>106</v>
      </c>
    </row>
    <row r="44" spans="1:7">
      <c r="A44" t="s">
        <v>107</v>
      </c>
      <c r="B44">
        <f>LEN(A44)</f>
        <v>13</v>
      </c>
      <c r="C44" t="s">
        <v>108</v>
      </c>
      <c r="D44">
        <f>LEN(C44)</f>
        <v>1</v>
      </c>
    </row>
    <row r="45" spans="1:7">
      <c r="A45" t="s">
        <v>109</v>
      </c>
      <c r="B45">
        <f t="shared" ref="B45:B51" si="0">LEN(A45)</f>
        <v>17</v>
      </c>
      <c r="C45" t="str">
        <f t="shared" ref="C45:C51" si="1">TRIM(A45)</f>
        <v>Aarohi Sharma</v>
      </c>
      <c r="D45">
        <f t="shared" ref="D45:D51" si="2">LEN(C45)</f>
        <v>13</v>
      </c>
    </row>
    <row r="46" spans="1:7">
      <c r="A46" t="s">
        <v>110</v>
      </c>
      <c r="B46">
        <f t="shared" si="0"/>
        <v>15</v>
      </c>
      <c r="C46" t="str">
        <f t="shared" si="1"/>
        <v>Mohini Sharma</v>
      </c>
      <c r="D46">
        <f t="shared" si="2"/>
        <v>13</v>
      </c>
    </row>
    <row r="47" spans="1:7">
      <c r="A47" t="s">
        <v>111</v>
      </c>
      <c r="B47">
        <f t="shared" si="0"/>
        <v>19</v>
      </c>
      <c r="C47" t="str">
        <f t="shared" si="1"/>
        <v>Aashu poonawala</v>
      </c>
      <c r="D47">
        <f t="shared" si="2"/>
        <v>15</v>
      </c>
    </row>
    <row r="48" spans="1:7">
      <c r="A48" t="s">
        <v>112</v>
      </c>
      <c r="B48">
        <f t="shared" si="0"/>
        <v>20</v>
      </c>
      <c r="C48" t="str">
        <f t="shared" si="1"/>
        <v>Rahul Singh Sharma</v>
      </c>
      <c r="D48">
        <f t="shared" si="2"/>
        <v>18</v>
      </c>
    </row>
    <row r="49" spans="1:4">
      <c r="A49" t="s">
        <v>113</v>
      </c>
      <c r="B49">
        <f t="shared" si="0"/>
        <v>18</v>
      </c>
      <c r="C49" t="str">
        <f t="shared" si="1"/>
        <v>Neil Armatong</v>
      </c>
      <c r="D49">
        <f t="shared" si="2"/>
        <v>13</v>
      </c>
    </row>
    <row r="50" spans="1:4">
      <c r="A50" t="s">
        <v>114</v>
      </c>
      <c r="B50">
        <f t="shared" si="0"/>
        <v>9</v>
      </c>
      <c r="C50" t="str">
        <f t="shared" si="1"/>
        <v>Tom Hardy</v>
      </c>
      <c r="D50">
        <f t="shared" si="2"/>
        <v>9</v>
      </c>
    </row>
    <row r="51" spans="1:4">
      <c r="A51" t="s">
        <v>115</v>
      </c>
      <c r="B51">
        <f t="shared" si="0"/>
        <v>13</v>
      </c>
      <c r="C51" t="str">
        <f t="shared" si="1"/>
        <v>Newton Kapoor</v>
      </c>
      <c r="D51">
        <f t="shared" si="2"/>
        <v>13</v>
      </c>
    </row>
    <row r="53" spans="1:4" s="42" customFormat="1">
      <c r="A53" s="43" t="s">
        <v>84</v>
      </c>
      <c r="B53" s="43" t="s">
        <v>116</v>
      </c>
      <c r="C53" s="43" t="s">
        <v>117</v>
      </c>
    </row>
    <row r="54" spans="1:4">
      <c r="A54" s="44" t="s">
        <v>91</v>
      </c>
      <c r="B54" s="45" t="str">
        <f>SUBSTITUTE(A54,"sh","om")</f>
        <v>Aomiom Sharma</v>
      </c>
      <c r="C54" s="47"/>
    </row>
    <row r="55" spans="1:4">
      <c r="A55" s="44" t="s">
        <v>92</v>
      </c>
      <c r="B55" s="45" t="str">
        <f>SUBSTITUTE(A55,"sh","lu")</f>
        <v>Akalu Narwar</v>
      </c>
      <c r="C55" s="45"/>
    </row>
    <row r="56" spans="1:4">
      <c r="A56" s="44" t="s">
        <v>93</v>
      </c>
      <c r="B56" s="45" t="str">
        <f>SUBSTITUTE(A56,"war","lad")</f>
        <v>Ankit Narlad</v>
      </c>
      <c r="C56" s="45"/>
    </row>
    <row r="57" spans="1:4">
      <c r="A57" s="44" t="s">
        <v>94</v>
      </c>
      <c r="B57" s="45"/>
      <c r="C57" s="45"/>
    </row>
    <row r="58" spans="1:4">
      <c r="A58" s="44" t="s">
        <v>95</v>
      </c>
      <c r="B58" s="45"/>
      <c r="C58" s="45"/>
    </row>
    <row r="59" spans="1:4">
      <c r="A59" s="44" t="s">
        <v>96</v>
      </c>
      <c r="B59" s="45"/>
      <c r="C59" s="45"/>
    </row>
    <row r="60" spans="1:4">
      <c r="A60" s="44" t="s">
        <v>97</v>
      </c>
      <c r="B60" s="45"/>
      <c r="C60" s="45"/>
    </row>
    <row r="61" spans="1:4">
      <c r="A61" s="44" t="s">
        <v>98</v>
      </c>
      <c r="B61" s="45"/>
      <c r="C61" s="45"/>
    </row>
    <row r="62" spans="1:4">
      <c r="A62" s="44" t="s">
        <v>99</v>
      </c>
      <c r="B62" s="45"/>
      <c r="C62" s="45"/>
    </row>
    <row r="63" spans="1:4">
      <c r="A63" s="44" t="s">
        <v>100</v>
      </c>
      <c r="B63" s="45"/>
      <c r="C63" s="45"/>
    </row>
    <row r="64" spans="1:4">
      <c r="A64" s="44" t="s">
        <v>101</v>
      </c>
      <c r="B64" s="45"/>
      <c r="C64" s="45"/>
    </row>
    <row r="65" spans="1:3">
      <c r="A65" s="46" t="s">
        <v>102</v>
      </c>
      <c r="B65" s="45"/>
      <c r="C65" s="45"/>
    </row>
  </sheetData>
  <sortState xmlns:xlrd2="http://schemas.microsoft.com/office/spreadsheetml/2017/richdata2" ref="G1:H8">
    <sortCondition descending="1" ref="G1:G8"/>
  </sortState>
  <mergeCells count="1">
    <mergeCell ref="A18:E18"/>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8D249-ADC3-4126-99CD-A6391C42A9D7}">
  <dimension ref="A1:J57"/>
  <sheetViews>
    <sheetView topLeftCell="B55" workbookViewId="0">
      <selection activeCell="F58" sqref="F58"/>
    </sheetView>
  </sheetViews>
  <sheetFormatPr defaultRowHeight="15"/>
  <cols>
    <col min="1" max="1" width="11.375" customWidth="1"/>
    <col min="2" max="2" width="18.125" bestFit="1" customWidth="1"/>
    <col min="3" max="3" width="18.125" customWidth="1"/>
    <col min="4" max="4" width="11.125" customWidth="1"/>
    <col min="5" max="5" width="15.125" customWidth="1"/>
    <col min="6" max="6" width="24.625" style="64" customWidth="1"/>
    <col min="7" max="7" width="15.875" bestFit="1" customWidth="1"/>
    <col min="8" max="8" width="13.125" customWidth="1"/>
    <col min="9" max="9" width="20.5" bestFit="1" customWidth="1"/>
    <col min="10" max="10" width="20.75" bestFit="1" customWidth="1"/>
  </cols>
  <sheetData>
    <row r="1" spans="1:8" ht="33" customHeight="1">
      <c r="A1" s="58" t="s">
        <v>39</v>
      </c>
      <c r="B1" s="57" t="s">
        <v>118</v>
      </c>
      <c r="C1" s="48"/>
      <c r="D1" s="57" t="s">
        <v>119</v>
      </c>
      <c r="E1" s="57" t="s">
        <v>120</v>
      </c>
      <c r="F1" s="65" t="s">
        <v>121</v>
      </c>
      <c r="G1" s="57" t="s">
        <v>122</v>
      </c>
      <c r="H1" s="57" t="s">
        <v>123</v>
      </c>
    </row>
    <row r="2" spans="1:8">
      <c r="A2" t="s">
        <v>124</v>
      </c>
      <c r="B2">
        <v>10000</v>
      </c>
      <c r="D2">
        <v>1000</v>
      </c>
      <c r="E2">
        <v>9000</v>
      </c>
      <c r="F2" s="64" t="str">
        <f>IMSUB(B2,D2)</f>
        <v>9000</v>
      </c>
      <c r="G2">
        <f>B2-$E$12</f>
        <v>9000</v>
      </c>
      <c r="H2">
        <f>G2/$E$11</f>
        <v>90</v>
      </c>
    </row>
    <row r="3" spans="1:8">
      <c r="A3" t="s">
        <v>125</v>
      </c>
      <c r="B3">
        <v>11000</v>
      </c>
      <c r="D3">
        <v>2000</v>
      </c>
      <c r="E3">
        <v>9000</v>
      </c>
      <c r="F3" s="64" t="str">
        <f t="shared" ref="F3:F7" si="0">IMSUB(B3,D3)</f>
        <v>9000</v>
      </c>
      <c r="G3">
        <f t="shared" ref="G3:G6" si="1">B3-$E$12</f>
        <v>10000</v>
      </c>
      <c r="H3">
        <f t="shared" ref="H3:H6" si="2">G3/$E$11</f>
        <v>100</v>
      </c>
    </row>
    <row r="4" spans="1:8" ht="27.75" customHeight="1">
      <c r="A4" s="34" t="s">
        <v>47</v>
      </c>
      <c r="B4">
        <v>12000</v>
      </c>
      <c r="D4">
        <v>4000</v>
      </c>
      <c r="E4">
        <v>8000</v>
      </c>
      <c r="F4" s="64" t="str">
        <f t="shared" si="0"/>
        <v>8000</v>
      </c>
      <c r="G4">
        <f t="shared" si="1"/>
        <v>11000</v>
      </c>
      <c r="H4">
        <f t="shared" si="2"/>
        <v>110</v>
      </c>
    </row>
    <row r="5" spans="1:8">
      <c r="A5" t="s">
        <v>126</v>
      </c>
      <c r="B5">
        <v>20000</v>
      </c>
      <c r="D5">
        <v>3000</v>
      </c>
      <c r="E5">
        <v>17000</v>
      </c>
      <c r="F5" s="64" t="str">
        <f t="shared" si="0"/>
        <v>17000</v>
      </c>
      <c r="G5">
        <f t="shared" si="1"/>
        <v>19000</v>
      </c>
      <c r="H5">
        <f t="shared" si="2"/>
        <v>190</v>
      </c>
    </row>
    <row r="6" spans="1:8">
      <c r="A6" t="s">
        <v>127</v>
      </c>
      <c r="B6">
        <v>25000</v>
      </c>
      <c r="D6">
        <v>10000</v>
      </c>
      <c r="E6">
        <v>15000</v>
      </c>
      <c r="F6" s="64" t="str">
        <f t="shared" si="0"/>
        <v>15000</v>
      </c>
      <c r="G6">
        <f t="shared" si="1"/>
        <v>24000</v>
      </c>
      <c r="H6">
        <f t="shared" si="2"/>
        <v>240</v>
      </c>
    </row>
    <row r="7" spans="1:8">
      <c r="A7" s="49" t="s">
        <v>128</v>
      </c>
      <c r="B7" s="37">
        <v>78000</v>
      </c>
      <c r="C7" s="37"/>
      <c r="D7" s="37">
        <v>20000</v>
      </c>
      <c r="E7" s="37">
        <v>58000</v>
      </c>
      <c r="F7" s="66"/>
      <c r="G7" s="50"/>
      <c r="H7" s="50"/>
    </row>
    <row r="11" spans="1:8">
      <c r="B11" s="52" t="s">
        <v>129</v>
      </c>
      <c r="C11" s="52"/>
      <c r="D11" s="51"/>
      <c r="E11" s="51">
        <v>100</v>
      </c>
      <c r="F11" s="67">
        <v>7</v>
      </c>
    </row>
    <row r="12" spans="1:8">
      <c r="B12" s="52" t="s">
        <v>130</v>
      </c>
      <c r="C12" s="52"/>
      <c r="D12" s="51"/>
      <c r="E12" s="51">
        <v>1000</v>
      </c>
      <c r="F12" s="67"/>
    </row>
    <row r="19" spans="1:10" ht="29.25">
      <c r="A19" s="35" t="s">
        <v>131</v>
      </c>
      <c r="B19" s="35" t="s">
        <v>132</v>
      </c>
      <c r="C19" s="35" t="s">
        <v>133</v>
      </c>
      <c r="D19" s="35" t="s">
        <v>134</v>
      </c>
      <c r="E19" s="53" t="s">
        <v>135</v>
      </c>
      <c r="F19" s="68" t="s">
        <v>136</v>
      </c>
      <c r="G19" s="35" t="s">
        <v>137</v>
      </c>
      <c r="H19" s="35" t="s">
        <v>138</v>
      </c>
      <c r="I19" s="35" t="s">
        <v>139</v>
      </c>
    </row>
    <row r="20" spans="1:10">
      <c r="A20">
        <v>1</v>
      </c>
      <c r="B20" t="s">
        <v>140</v>
      </c>
      <c r="C20">
        <v>10</v>
      </c>
      <c r="D20">
        <v>100</v>
      </c>
      <c r="E20">
        <v>90</v>
      </c>
      <c r="F20" s="64">
        <v>200</v>
      </c>
      <c r="G20" s="56">
        <v>300</v>
      </c>
      <c r="H20" s="54">
        <f>F20/$F$37</f>
        <v>0.66666666666666663</v>
      </c>
      <c r="I20" s="55">
        <f>F20/$G$20</f>
        <v>0.66666666666666663</v>
      </c>
      <c r="J20" s="144" t="s">
        <v>141</v>
      </c>
    </row>
    <row r="21" spans="1:10">
      <c r="A21">
        <v>2</v>
      </c>
      <c r="B21" t="s">
        <v>142</v>
      </c>
      <c r="C21">
        <v>20</v>
      </c>
      <c r="D21">
        <v>90</v>
      </c>
      <c r="E21">
        <v>70</v>
      </c>
      <c r="F21" s="64">
        <v>180</v>
      </c>
      <c r="G21" s="56">
        <v>300</v>
      </c>
      <c r="H21" s="54">
        <f t="shared" ref="H21:H33" si="3">F21/$F$37</f>
        <v>0.6</v>
      </c>
      <c r="I21" s="55">
        <f t="shared" ref="I21:I33" si="4">F21/$G$20</f>
        <v>0.6</v>
      </c>
      <c r="J21" s="144"/>
    </row>
    <row r="22" spans="1:10">
      <c r="A22">
        <v>3</v>
      </c>
      <c r="B22" t="s">
        <v>143</v>
      </c>
      <c r="C22">
        <v>30</v>
      </c>
      <c r="D22">
        <v>80</v>
      </c>
      <c r="E22">
        <v>50</v>
      </c>
      <c r="F22" s="64">
        <v>160</v>
      </c>
      <c r="G22" s="56">
        <v>300</v>
      </c>
      <c r="H22" s="54">
        <f t="shared" si="3"/>
        <v>0.53333333333333333</v>
      </c>
      <c r="I22" s="55">
        <f t="shared" si="4"/>
        <v>0.53333333333333333</v>
      </c>
      <c r="J22" s="144"/>
    </row>
    <row r="23" spans="1:10">
      <c r="A23">
        <v>4</v>
      </c>
      <c r="B23" t="s">
        <v>144</v>
      </c>
      <c r="C23">
        <v>40</v>
      </c>
      <c r="D23">
        <v>70</v>
      </c>
      <c r="E23">
        <v>20</v>
      </c>
      <c r="F23" s="64">
        <v>130</v>
      </c>
      <c r="G23" s="56">
        <v>300</v>
      </c>
      <c r="H23" s="54">
        <f t="shared" si="3"/>
        <v>0.43333333333333335</v>
      </c>
      <c r="I23" s="55">
        <f t="shared" si="4"/>
        <v>0.43333333333333335</v>
      </c>
      <c r="J23" s="144"/>
    </row>
    <row r="24" spans="1:10">
      <c r="A24">
        <v>5</v>
      </c>
      <c r="B24" t="s">
        <v>145</v>
      </c>
      <c r="C24">
        <v>50</v>
      </c>
      <c r="D24">
        <v>60</v>
      </c>
      <c r="E24">
        <v>40</v>
      </c>
      <c r="F24" s="64">
        <v>150</v>
      </c>
      <c r="G24" s="56">
        <v>300</v>
      </c>
      <c r="H24" s="54">
        <f t="shared" si="3"/>
        <v>0.5</v>
      </c>
      <c r="I24" s="55">
        <f t="shared" si="4"/>
        <v>0.5</v>
      </c>
      <c r="J24" s="144"/>
    </row>
    <row r="25" spans="1:10">
      <c r="A25">
        <v>6</v>
      </c>
      <c r="B25" t="s">
        <v>146</v>
      </c>
      <c r="C25">
        <v>60</v>
      </c>
      <c r="D25">
        <v>50</v>
      </c>
      <c r="E25">
        <v>80</v>
      </c>
      <c r="F25" s="64">
        <v>190</v>
      </c>
      <c r="G25" s="56">
        <v>300</v>
      </c>
      <c r="H25" s="54">
        <f t="shared" si="3"/>
        <v>0.6333333333333333</v>
      </c>
      <c r="I25" s="55">
        <f t="shared" si="4"/>
        <v>0.6333333333333333</v>
      </c>
      <c r="J25" s="144"/>
    </row>
    <row r="26" spans="1:10">
      <c r="A26">
        <v>7</v>
      </c>
      <c r="B26" t="s">
        <v>147</v>
      </c>
      <c r="C26">
        <v>70</v>
      </c>
      <c r="D26">
        <v>40</v>
      </c>
      <c r="E26">
        <v>100</v>
      </c>
      <c r="F26" s="64">
        <v>210</v>
      </c>
      <c r="G26" s="56">
        <v>300</v>
      </c>
      <c r="H26" s="54">
        <f t="shared" si="3"/>
        <v>0.7</v>
      </c>
      <c r="I26" s="55">
        <f t="shared" si="4"/>
        <v>0.7</v>
      </c>
      <c r="J26" s="144"/>
    </row>
    <row r="27" spans="1:10">
      <c r="A27">
        <v>8</v>
      </c>
      <c r="B27" t="s">
        <v>148</v>
      </c>
      <c r="C27">
        <v>80</v>
      </c>
      <c r="D27">
        <v>80</v>
      </c>
      <c r="E27">
        <v>75</v>
      </c>
      <c r="F27" s="64">
        <v>235</v>
      </c>
      <c r="G27" s="56">
        <v>300</v>
      </c>
      <c r="H27" s="54">
        <f t="shared" si="3"/>
        <v>0.78333333333333333</v>
      </c>
      <c r="I27" s="55">
        <f t="shared" si="4"/>
        <v>0.78333333333333333</v>
      </c>
      <c r="J27" s="144"/>
    </row>
    <row r="28" spans="1:10">
      <c r="A28">
        <v>9</v>
      </c>
      <c r="B28" t="s">
        <v>149</v>
      </c>
      <c r="C28">
        <v>90</v>
      </c>
      <c r="D28">
        <v>90</v>
      </c>
      <c r="E28">
        <v>35</v>
      </c>
      <c r="F28" s="64">
        <v>215</v>
      </c>
      <c r="G28" s="56">
        <v>300</v>
      </c>
      <c r="H28" s="54">
        <f t="shared" si="3"/>
        <v>0.71666666666666667</v>
      </c>
      <c r="I28" s="55">
        <f t="shared" si="4"/>
        <v>0.71666666666666667</v>
      </c>
      <c r="J28" s="144"/>
    </row>
    <row r="29" spans="1:10">
      <c r="A29">
        <v>10</v>
      </c>
      <c r="B29" t="s">
        <v>150</v>
      </c>
      <c r="C29">
        <v>100</v>
      </c>
      <c r="D29">
        <v>20</v>
      </c>
      <c r="E29">
        <v>90</v>
      </c>
      <c r="F29" s="64">
        <v>210</v>
      </c>
      <c r="G29" s="56">
        <v>300</v>
      </c>
      <c r="H29" s="54">
        <f t="shared" si="3"/>
        <v>0.7</v>
      </c>
      <c r="I29" s="55">
        <f t="shared" si="4"/>
        <v>0.7</v>
      </c>
      <c r="J29" s="144"/>
    </row>
    <row r="30" spans="1:10">
      <c r="A30">
        <v>11</v>
      </c>
      <c r="B30" t="s">
        <v>151</v>
      </c>
      <c r="C30">
        <v>67</v>
      </c>
      <c r="D30">
        <v>30</v>
      </c>
      <c r="E30">
        <v>25</v>
      </c>
      <c r="F30" s="64">
        <v>122</v>
      </c>
      <c r="G30" s="56">
        <v>300</v>
      </c>
      <c r="H30" s="54">
        <f t="shared" si="3"/>
        <v>0.40666666666666668</v>
      </c>
      <c r="I30" s="55">
        <f t="shared" si="4"/>
        <v>0.40666666666666668</v>
      </c>
      <c r="J30" s="144"/>
    </row>
    <row r="31" spans="1:10">
      <c r="A31">
        <v>12</v>
      </c>
      <c r="B31" t="s">
        <v>152</v>
      </c>
      <c r="C31">
        <v>80</v>
      </c>
      <c r="D31">
        <v>50</v>
      </c>
      <c r="E31">
        <v>85</v>
      </c>
      <c r="F31" s="64">
        <v>215</v>
      </c>
      <c r="G31" s="56">
        <v>300</v>
      </c>
      <c r="H31" s="54">
        <f t="shared" si="3"/>
        <v>0.71666666666666667</v>
      </c>
      <c r="I31" s="55">
        <f t="shared" si="4"/>
        <v>0.71666666666666667</v>
      </c>
      <c r="J31" s="144"/>
    </row>
    <row r="32" spans="1:10">
      <c r="A32">
        <v>13</v>
      </c>
      <c r="B32" t="s">
        <v>153</v>
      </c>
      <c r="C32">
        <v>90</v>
      </c>
      <c r="D32">
        <v>100</v>
      </c>
      <c r="E32">
        <v>50</v>
      </c>
      <c r="F32" s="64">
        <v>241</v>
      </c>
      <c r="G32" s="56">
        <v>300</v>
      </c>
      <c r="H32" s="54">
        <f t="shared" si="3"/>
        <v>0.80333333333333334</v>
      </c>
      <c r="I32" s="55">
        <f t="shared" si="4"/>
        <v>0.80333333333333334</v>
      </c>
    </row>
    <row r="33" spans="1:10">
      <c r="A33">
        <v>14</v>
      </c>
      <c r="B33" t="s">
        <v>154</v>
      </c>
      <c r="C33">
        <v>40</v>
      </c>
      <c r="D33">
        <v>70</v>
      </c>
      <c r="E33">
        <v>60</v>
      </c>
      <c r="F33" s="64">
        <v>170</v>
      </c>
      <c r="G33" s="56">
        <v>300</v>
      </c>
      <c r="H33" s="54">
        <f t="shared" si="3"/>
        <v>0.56666666666666665</v>
      </c>
      <c r="I33" s="55">
        <f t="shared" si="4"/>
        <v>0.56666666666666665</v>
      </c>
    </row>
    <row r="37" spans="1:10">
      <c r="F37" s="68">
        <v>300</v>
      </c>
    </row>
    <row r="40" spans="1:10">
      <c r="B40" s="49" t="s">
        <v>75</v>
      </c>
      <c r="C40" s="49" t="s">
        <v>76</v>
      </c>
      <c r="D40" s="49" t="s">
        <v>77</v>
      </c>
      <c r="E40" s="49" t="s">
        <v>78</v>
      </c>
      <c r="F40" s="69" t="s">
        <v>79</v>
      </c>
      <c r="I40" s="40" t="s">
        <v>75</v>
      </c>
      <c r="J40" s="40" t="s">
        <v>76</v>
      </c>
    </row>
    <row r="41" spans="1:10">
      <c r="B41" s="49" t="s">
        <v>155</v>
      </c>
      <c r="C41" s="49" t="s">
        <v>156</v>
      </c>
      <c r="D41" s="49" t="s">
        <v>157</v>
      </c>
      <c r="E41" s="49" t="s">
        <v>158</v>
      </c>
      <c r="F41" s="69" t="s">
        <v>159</v>
      </c>
      <c r="I41" s="40">
        <v>2024</v>
      </c>
      <c r="J41" s="40" t="s">
        <v>160</v>
      </c>
    </row>
    <row r="42" spans="1:10">
      <c r="B42" s="59">
        <v>46110</v>
      </c>
      <c r="C42" s="61">
        <v>0.79583333333333328</v>
      </c>
      <c r="D42" s="59">
        <f ca="1">TODAY()</f>
        <v>46120</v>
      </c>
      <c r="E42" s="60">
        <f ca="1">NOW()</f>
        <v>46120.422513310186</v>
      </c>
      <c r="F42" s="70">
        <f>DATE(Table3[[#This Row],[Column1]],I42,I43)</f>
        <v>3148</v>
      </c>
      <c r="I42" s="40">
        <v>8</v>
      </c>
      <c r="J42" s="40" t="s">
        <v>153</v>
      </c>
    </row>
    <row r="43" spans="1:10">
      <c r="E43" s="60"/>
      <c r="I43" s="40">
        <v>13</v>
      </c>
      <c r="J43" s="40" t="s">
        <v>144</v>
      </c>
    </row>
    <row r="44" spans="1:10">
      <c r="E44" s="60"/>
    </row>
    <row r="45" spans="1:10">
      <c r="E45" s="60"/>
      <c r="G45" t="s">
        <v>75</v>
      </c>
      <c r="H45" t="s">
        <v>76</v>
      </c>
    </row>
    <row r="46" spans="1:10">
      <c r="G46" s="62" t="s">
        <v>161</v>
      </c>
      <c r="H46" s="63">
        <f>DAY(F42)</f>
        <v>13</v>
      </c>
    </row>
    <row r="47" spans="1:10">
      <c r="G47" s="62" t="s">
        <v>162</v>
      </c>
      <c r="H47" s="63">
        <f t="shared" ref="H47" si="5">MONTH(F42)</f>
        <v>8</v>
      </c>
    </row>
    <row r="48" spans="1:10">
      <c r="G48" s="62" t="s">
        <v>163</v>
      </c>
      <c r="H48" s="63">
        <f>YEAR(F42)</f>
        <v>1908</v>
      </c>
    </row>
    <row r="52" spans="3:7">
      <c r="C52" s="49" t="s">
        <v>75</v>
      </c>
      <c r="D52" s="49" t="s">
        <v>76</v>
      </c>
      <c r="E52" s="49" t="s">
        <v>77</v>
      </c>
      <c r="F52" s="69" t="s">
        <v>78</v>
      </c>
    </row>
    <row r="53" spans="3:7">
      <c r="C53" s="49" t="s">
        <v>164</v>
      </c>
      <c r="D53" s="49" t="s">
        <v>165</v>
      </c>
      <c r="E53" s="49" t="s">
        <v>41</v>
      </c>
      <c r="F53" s="69" t="s">
        <v>166</v>
      </c>
    </row>
    <row r="54" spans="3:7">
      <c r="C54" s="59">
        <v>44929</v>
      </c>
      <c r="D54" s="59">
        <v>44986</v>
      </c>
      <c r="E54" s="59">
        <v>44929</v>
      </c>
      <c r="F54" s="71">
        <v>44929</v>
      </c>
      <c r="G54" s="145" t="s">
        <v>167</v>
      </c>
    </row>
    <row r="55" spans="3:7">
      <c r="C55" s="59">
        <v>45512</v>
      </c>
      <c r="D55" s="59">
        <v>45660</v>
      </c>
      <c r="E55" s="59">
        <v>45512</v>
      </c>
      <c r="F55" s="71">
        <v>45512</v>
      </c>
      <c r="G55" s="145"/>
    </row>
    <row r="56" spans="3:7">
      <c r="C56" s="59">
        <v>42252</v>
      </c>
      <c r="D56" s="59">
        <v>42104</v>
      </c>
      <c r="E56" s="59">
        <v>42252</v>
      </c>
      <c r="F56" s="71">
        <v>42252</v>
      </c>
      <c r="G56" s="145"/>
    </row>
    <row r="57" spans="3:7">
      <c r="C57" s="59">
        <v>45770</v>
      </c>
      <c r="D57" s="59">
        <v>45417</v>
      </c>
      <c r="E57" s="59">
        <v>45770</v>
      </c>
      <c r="F57" s="71">
        <v>45770</v>
      </c>
      <c r="G57" s="145"/>
    </row>
  </sheetData>
  <mergeCells count="2">
    <mergeCell ref="J20:J31"/>
    <mergeCell ref="G54:G57"/>
  </mergeCells>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A10E5-F48A-4112-95D7-E64BC91EAD3D}">
  <dimension ref="A1:H73"/>
  <sheetViews>
    <sheetView topLeftCell="A55" workbookViewId="0">
      <selection activeCell="D73" sqref="D73"/>
    </sheetView>
  </sheetViews>
  <sheetFormatPr defaultRowHeight="15"/>
  <cols>
    <col min="1" max="1" width="15.625" bestFit="1" customWidth="1"/>
    <col min="2" max="2" width="10.625" bestFit="1" customWidth="1"/>
    <col min="3" max="3" width="16.375" customWidth="1"/>
    <col min="4" max="4" width="14" bestFit="1" customWidth="1"/>
    <col min="5" max="5" width="14.25" bestFit="1" customWidth="1"/>
  </cols>
  <sheetData>
    <row r="1" spans="1:5">
      <c r="A1" s="72" t="s">
        <v>168</v>
      </c>
      <c r="B1" s="72" t="s">
        <v>169</v>
      </c>
      <c r="C1" s="73" t="s">
        <v>170</v>
      </c>
      <c r="D1" s="73" t="s">
        <v>171</v>
      </c>
      <c r="E1" t="s">
        <v>75</v>
      </c>
    </row>
    <row r="2" spans="1:5">
      <c r="A2" s="59">
        <v>44927</v>
      </c>
      <c r="B2" s="59">
        <v>45291</v>
      </c>
      <c r="C2">
        <f>NETWORKDAYS(Table7[[#This Row],[start date]],Table7[[#This Row],[end date]])</f>
        <v>260</v>
      </c>
      <c r="D2">
        <f>NETWORKDAYS(Table7[[#This Row],[start date]],Table7[[#This Row],[end date]],$A$7:$A$8)</f>
        <v>258</v>
      </c>
      <c r="E2" s="75" t="s">
        <v>172</v>
      </c>
    </row>
    <row r="3" spans="1:5">
      <c r="A3" s="59">
        <v>45292</v>
      </c>
      <c r="B3" s="59">
        <v>45657</v>
      </c>
      <c r="C3">
        <f>NETWORKDAYS(Table7[[#This Row],[start date]],Table7[[#This Row],[end date]])</f>
        <v>262</v>
      </c>
      <c r="D3">
        <f>NETWORKDAYS(Table7[[#This Row],[start date]],Table7[[#This Row],[end date]],$A$7:$A$8)</f>
        <v>262</v>
      </c>
      <c r="E3" s="75"/>
    </row>
    <row r="4" spans="1:5">
      <c r="A4" s="59">
        <v>42005</v>
      </c>
      <c r="B4" s="59">
        <v>42369</v>
      </c>
      <c r="C4" s="34"/>
      <c r="E4" s="74" t="s">
        <v>173</v>
      </c>
    </row>
    <row r="5" spans="1:5">
      <c r="A5" s="59">
        <v>45658</v>
      </c>
      <c r="B5" s="59">
        <v>46022</v>
      </c>
      <c r="E5" s="74"/>
    </row>
    <row r="7" spans="1:5">
      <c r="A7" s="59">
        <v>44946</v>
      </c>
      <c r="C7" s="59">
        <v>42355</v>
      </c>
    </row>
    <row r="8" spans="1:5">
      <c r="A8" s="59">
        <v>45153</v>
      </c>
      <c r="C8" s="59">
        <v>42189</v>
      </c>
    </row>
    <row r="9" spans="1:5">
      <c r="C9" s="59">
        <v>42248</v>
      </c>
    </row>
    <row r="12" spans="1:5">
      <c r="A12" t="s">
        <v>140</v>
      </c>
      <c r="B12">
        <v>130</v>
      </c>
    </row>
    <row r="13" spans="1:5">
      <c r="A13" t="s">
        <v>142</v>
      </c>
      <c r="B13">
        <v>200</v>
      </c>
    </row>
    <row r="14" spans="1:5" ht="15.75">
      <c r="A14" t="s">
        <v>143</v>
      </c>
      <c r="B14">
        <v>180</v>
      </c>
      <c r="D14" s="76"/>
    </row>
    <row r="15" spans="1:5">
      <c r="A15" t="s">
        <v>144</v>
      </c>
      <c r="B15">
        <v>170</v>
      </c>
    </row>
    <row r="16" spans="1:5">
      <c r="A16" t="s">
        <v>174</v>
      </c>
      <c r="B16">
        <v>140</v>
      </c>
    </row>
    <row r="17" spans="1:2">
      <c r="A17" t="s">
        <v>146</v>
      </c>
      <c r="B17">
        <v>180</v>
      </c>
    </row>
    <row r="18" spans="1:2">
      <c r="A18" t="s">
        <v>147</v>
      </c>
      <c r="B18">
        <v>120</v>
      </c>
    </row>
    <row r="19" spans="1:2">
      <c r="A19" t="s">
        <v>148</v>
      </c>
      <c r="B19">
        <v>388</v>
      </c>
    </row>
    <row r="20" spans="1:2">
      <c r="A20" t="s">
        <v>149</v>
      </c>
      <c r="B20">
        <v>780</v>
      </c>
    </row>
    <row r="21" spans="1:2">
      <c r="A21" t="s">
        <v>150</v>
      </c>
      <c r="B21">
        <v>230</v>
      </c>
    </row>
    <row r="22" spans="1:2">
      <c r="A22" t="s">
        <v>151</v>
      </c>
      <c r="B22">
        <v>320</v>
      </c>
    </row>
    <row r="23" spans="1:2">
      <c r="A23" t="s">
        <v>152</v>
      </c>
      <c r="B23">
        <v>420</v>
      </c>
    </row>
    <row r="24" spans="1:2">
      <c r="A24" t="s">
        <v>153</v>
      </c>
      <c r="B24">
        <v>120</v>
      </c>
    </row>
    <row r="25" spans="1:2">
      <c r="A25" t="s">
        <v>154</v>
      </c>
      <c r="B25">
        <v>210</v>
      </c>
    </row>
    <row r="26" spans="1:2">
      <c r="A26" t="s">
        <v>175</v>
      </c>
      <c r="B26">
        <v>310</v>
      </c>
    </row>
    <row r="27" spans="1:2">
      <c r="A27" t="s">
        <v>176</v>
      </c>
      <c r="B27">
        <v>210</v>
      </c>
    </row>
    <row r="28" spans="1:2">
      <c r="A28" t="s">
        <v>177</v>
      </c>
      <c r="B28">
        <v>130</v>
      </c>
    </row>
    <row r="29" spans="1:2">
      <c r="A29" t="s">
        <v>178</v>
      </c>
      <c r="B29">
        <v>125</v>
      </c>
    </row>
    <row r="30" spans="1:2">
      <c r="A30" t="s">
        <v>179</v>
      </c>
      <c r="B30">
        <v>235</v>
      </c>
    </row>
    <row r="31" spans="1:2">
      <c r="A31" t="s">
        <v>180</v>
      </c>
      <c r="B31">
        <v>800</v>
      </c>
    </row>
    <row r="32" spans="1:2">
      <c r="A32" t="s">
        <v>181</v>
      </c>
      <c r="B32">
        <v>400</v>
      </c>
    </row>
    <row r="33" spans="1:2">
      <c r="A33" t="s">
        <v>182</v>
      </c>
      <c r="B33">
        <v>500</v>
      </c>
    </row>
    <row r="34" spans="1:2">
      <c r="A34" t="s">
        <v>183</v>
      </c>
      <c r="B34">
        <v>50</v>
      </c>
    </row>
    <row r="35" spans="1:2">
      <c r="A35" t="s">
        <v>184</v>
      </c>
      <c r="B35">
        <v>70</v>
      </c>
    </row>
    <row r="36" spans="1:2">
      <c r="A36" t="s">
        <v>160</v>
      </c>
      <c r="B36">
        <v>80</v>
      </c>
    </row>
    <row r="37" spans="1:2">
      <c r="A37" t="s">
        <v>185</v>
      </c>
      <c r="B37">
        <v>90</v>
      </c>
    </row>
    <row r="61" spans="1:4">
      <c r="A61" s="77" t="s">
        <v>186</v>
      </c>
      <c r="B61" s="77" t="s">
        <v>187</v>
      </c>
      <c r="C61" s="77" t="s">
        <v>188</v>
      </c>
      <c r="D61" s="77" t="s">
        <v>189</v>
      </c>
    </row>
    <row r="62" spans="1:4">
      <c r="A62" t="s">
        <v>190</v>
      </c>
      <c r="B62" s="78">
        <v>5000</v>
      </c>
      <c r="C62" s="59">
        <v>45413</v>
      </c>
      <c r="D62" t="s">
        <v>191</v>
      </c>
    </row>
    <row r="63" spans="1:4">
      <c r="A63" t="s">
        <v>192</v>
      </c>
      <c r="B63" s="78">
        <v>6000</v>
      </c>
      <c r="C63" s="59">
        <v>45293</v>
      </c>
      <c r="D63" t="s">
        <v>193</v>
      </c>
    </row>
    <row r="64" spans="1:4">
      <c r="A64" t="s">
        <v>194</v>
      </c>
      <c r="B64" s="78">
        <v>7000</v>
      </c>
      <c r="C64" s="59">
        <v>45294</v>
      </c>
      <c r="D64" t="s">
        <v>193</v>
      </c>
    </row>
    <row r="65" spans="1:8">
      <c r="A65" t="s">
        <v>195</v>
      </c>
      <c r="B65" s="78">
        <v>8000</v>
      </c>
      <c r="C65" s="59">
        <v>45295</v>
      </c>
      <c r="D65" t="s">
        <v>196</v>
      </c>
    </row>
    <row r="66" spans="1:8">
      <c r="A66" t="s">
        <v>197</v>
      </c>
      <c r="B66" s="78">
        <v>9000</v>
      </c>
      <c r="C66" s="59">
        <v>45296</v>
      </c>
      <c r="D66" t="s">
        <v>198</v>
      </c>
    </row>
    <row r="67" spans="1:8">
      <c r="A67" t="s">
        <v>194</v>
      </c>
      <c r="B67" s="78">
        <v>10000</v>
      </c>
      <c r="C67" s="59">
        <v>45297</v>
      </c>
      <c r="D67" t="s">
        <v>191</v>
      </c>
    </row>
    <row r="68" spans="1:8">
      <c r="A68" t="s">
        <v>199</v>
      </c>
      <c r="B68" s="78">
        <v>10000</v>
      </c>
      <c r="C68" s="59">
        <v>45298</v>
      </c>
      <c r="D68" t="s">
        <v>198</v>
      </c>
    </row>
    <row r="69" spans="1:8">
      <c r="A69" t="s">
        <v>200</v>
      </c>
      <c r="B69" s="78">
        <v>15000</v>
      </c>
      <c r="C69" s="59">
        <v>45299</v>
      </c>
      <c r="D69" t="s">
        <v>198</v>
      </c>
    </row>
    <row r="70" spans="1:8">
      <c r="A70" t="s">
        <v>201</v>
      </c>
      <c r="B70" s="78">
        <v>18000</v>
      </c>
      <c r="C70" s="59">
        <v>45300</v>
      </c>
      <c r="D70" t="s">
        <v>196</v>
      </c>
    </row>
    <row r="73" spans="1:8">
      <c r="E73" s="146" t="s">
        <v>202</v>
      </c>
      <c r="F73" s="146"/>
      <c r="G73" s="146"/>
      <c r="H73" s="146"/>
    </row>
  </sheetData>
  <mergeCells count="1">
    <mergeCell ref="E73:H73"/>
  </mergeCells>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AC4B-6001-4F60-AF65-FDB84464FA00}">
  <dimension ref="A1:O101"/>
  <sheetViews>
    <sheetView topLeftCell="A84" workbookViewId="0">
      <selection activeCell="F85" sqref="F85"/>
    </sheetView>
  </sheetViews>
  <sheetFormatPr defaultRowHeight="15"/>
  <cols>
    <col min="1" max="1" width="15" customWidth="1"/>
    <col min="2" max="2" width="11.125" customWidth="1"/>
    <col min="3" max="3" width="10.5" customWidth="1"/>
    <col min="4" max="5" width="6.875" customWidth="1"/>
    <col min="6" max="6" width="15.5" bestFit="1" customWidth="1"/>
    <col min="7" max="7" width="18.25" customWidth="1"/>
    <col min="8" max="8" width="13.25" customWidth="1"/>
    <col min="9" max="9" width="19.25" customWidth="1"/>
    <col min="10" max="10" width="11.375" customWidth="1"/>
    <col min="11" max="11" width="12.625" bestFit="1" customWidth="1"/>
    <col min="12" max="13" width="11.5" customWidth="1"/>
    <col min="14" max="14" width="9.75" customWidth="1"/>
    <col min="15" max="15" width="12" customWidth="1"/>
  </cols>
  <sheetData>
    <row r="1" spans="1:15">
      <c r="A1" t="s">
        <v>203</v>
      </c>
      <c r="B1" t="s">
        <v>204</v>
      </c>
      <c r="C1" t="s">
        <v>205</v>
      </c>
      <c r="D1" t="s">
        <v>206</v>
      </c>
      <c r="E1" t="s">
        <v>75</v>
      </c>
      <c r="F1" t="s">
        <v>207</v>
      </c>
      <c r="H1" s="80" t="s">
        <v>207</v>
      </c>
      <c r="J1" t="s">
        <v>207</v>
      </c>
      <c r="L1" t="s">
        <v>130</v>
      </c>
      <c r="O1" t="s">
        <v>130</v>
      </c>
    </row>
    <row r="2" spans="1:15">
      <c r="A2" s="59">
        <v>44562</v>
      </c>
      <c r="B2" t="s">
        <v>208</v>
      </c>
      <c r="C2" t="s">
        <v>209</v>
      </c>
      <c r="D2" s="79">
        <v>1000</v>
      </c>
      <c r="E2" s="79"/>
      <c r="F2" s="79">
        <v>1000</v>
      </c>
      <c r="H2" s="81">
        <v>1000</v>
      </c>
      <c r="J2" s="79">
        <v>1000</v>
      </c>
      <c r="L2" s="81">
        <v>1000</v>
      </c>
      <c r="M2" s="83"/>
      <c r="O2" s="81">
        <v>1000</v>
      </c>
    </row>
    <row r="3" spans="1:15">
      <c r="A3" s="59">
        <v>44562</v>
      </c>
      <c r="B3" t="s">
        <v>210</v>
      </c>
      <c r="C3" t="s">
        <v>211</v>
      </c>
      <c r="D3" s="79">
        <v>1000</v>
      </c>
      <c r="E3" s="79"/>
      <c r="F3" s="79">
        <v>1000</v>
      </c>
      <c r="H3" s="81">
        <v>1000</v>
      </c>
      <c r="J3" s="79">
        <v>1000</v>
      </c>
      <c r="L3" s="81">
        <v>1000</v>
      </c>
      <c r="M3" s="83"/>
      <c r="O3" s="81">
        <v>1000</v>
      </c>
    </row>
    <row r="4" spans="1:15">
      <c r="A4" s="59">
        <v>44564</v>
      </c>
      <c r="B4" t="s">
        <v>212</v>
      </c>
      <c r="C4" t="s">
        <v>213</v>
      </c>
      <c r="D4" s="79">
        <v>1200</v>
      </c>
      <c r="E4" s="79"/>
      <c r="F4" s="79">
        <v>1200</v>
      </c>
      <c r="H4" s="81">
        <v>1200</v>
      </c>
      <c r="J4" s="79">
        <v>1200</v>
      </c>
      <c r="L4" s="81">
        <v>1200</v>
      </c>
      <c r="M4" s="83"/>
      <c r="O4" s="81">
        <v>1200</v>
      </c>
    </row>
    <row r="5" spans="1:15">
      <c r="A5" s="59">
        <v>44567</v>
      </c>
      <c r="B5" t="s">
        <v>214</v>
      </c>
      <c r="C5" t="s">
        <v>215</v>
      </c>
      <c r="D5" s="79">
        <v>1200</v>
      </c>
      <c r="E5" s="79"/>
      <c r="F5" s="79">
        <v>1200</v>
      </c>
      <c r="H5" s="81">
        <v>1200</v>
      </c>
      <c r="J5" s="79">
        <v>1200</v>
      </c>
      <c r="L5" s="81">
        <v>1200</v>
      </c>
      <c r="M5" s="83"/>
      <c r="O5" s="81">
        <v>1200</v>
      </c>
    </row>
    <row r="6" spans="1:15">
      <c r="A6" s="59">
        <v>44568</v>
      </c>
      <c r="B6" t="s">
        <v>216</v>
      </c>
      <c r="C6" t="s">
        <v>217</v>
      </c>
      <c r="D6" s="79">
        <v>1500</v>
      </c>
      <c r="E6" s="79"/>
      <c r="F6" s="79">
        <v>1500</v>
      </c>
      <c r="H6" s="81">
        <v>1500</v>
      </c>
      <c r="J6" s="79">
        <v>1500</v>
      </c>
      <c r="L6" s="81">
        <v>1500</v>
      </c>
      <c r="M6" s="83"/>
      <c r="O6" s="81">
        <v>1500</v>
      </c>
    </row>
    <row r="7" spans="1:15">
      <c r="A7" s="59">
        <v>44568</v>
      </c>
      <c r="B7" t="s">
        <v>218</v>
      </c>
      <c r="C7" t="s">
        <v>219</v>
      </c>
      <c r="D7" s="79">
        <v>2000</v>
      </c>
      <c r="E7" s="79"/>
      <c r="F7" s="79">
        <v>2000</v>
      </c>
      <c r="H7" s="81">
        <v>2000</v>
      </c>
      <c r="J7" s="79">
        <v>2000</v>
      </c>
      <c r="L7" s="81">
        <v>2000</v>
      </c>
      <c r="M7" s="83"/>
      <c r="O7" s="81">
        <v>2000</v>
      </c>
    </row>
    <row r="8" spans="1:15">
      <c r="A8" s="59">
        <v>44569</v>
      </c>
      <c r="B8" t="s">
        <v>220</v>
      </c>
      <c r="C8" t="s">
        <v>221</v>
      </c>
      <c r="D8" s="79">
        <v>2200</v>
      </c>
      <c r="E8" s="79"/>
      <c r="F8" s="79">
        <v>2200</v>
      </c>
      <c r="H8" s="81">
        <v>2200</v>
      </c>
      <c r="J8" s="79">
        <v>2200</v>
      </c>
      <c r="L8" s="81">
        <v>2200</v>
      </c>
      <c r="M8" s="83"/>
      <c r="O8" s="81">
        <v>2200</v>
      </c>
    </row>
    <row r="9" spans="1:15">
      <c r="A9" s="59">
        <v>44571</v>
      </c>
      <c r="B9" t="s">
        <v>208</v>
      </c>
      <c r="C9" t="s">
        <v>211</v>
      </c>
      <c r="D9" s="79">
        <v>6300</v>
      </c>
      <c r="E9" s="79"/>
      <c r="F9" s="79">
        <v>6300</v>
      </c>
      <c r="H9" s="81">
        <v>6300</v>
      </c>
      <c r="J9" s="79">
        <v>2300</v>
      </c>
      <c r="L9" s="81">
        <v>6300</v>
      </c>
      <c r="M9" s="83"/>
      <c r="O9" s="81">
        <v>6300</v>
      </c>
    </row>
    <row r="10" spans="1:15">
      <c r="A10" s="59">
        <v>44572</v>
      </c>
      <c r="B10" t="s">
        <v>210</v>
      </c>
      <c r="C10" t="s">
        <v>213</v>
      </c>
      <c r="D10" s="79">
        <v>2800</v>
      </c>
      <c r="E10" s="79"/>
      <c r="F10" s="79">
        <v>2800</v>
      </c>
      <c r="H10" s="81">
        <v>2800</v>
      </c>
      <c r="J10" s="79">
        <v>2800</v>
      </c>
      <c r="L10" s="81">
        <v>2800</v>
      </c>
      <c r="M10" s="83"/>
      <c r="O10" s="81">
        <v>2800</v>
      </c>
    </row>
    <row r="11" spans="1:15">
      <c r="A11" s="59">
        <v>44573</v>
      </c>
      <c r="B11" t="s">
        <v>214</v>
      </c>
      <c r="C11" t="s">
        <v>215</v>
      </c>
      <c r="D11" s="79">
        <v>3000</v>
      </c>
      <c r="E11" s="79"/>
      <c r="F11" s="79">
        <v>3000</v>
      </c>
      <c r="H11" s="81">
        <v>3000</v>
      </c>
      <c r="J11" s="79">
        <v>3000</v>
      </c>
      <c r="L11" s="81">
        <v>3000</v>
      </c>
      <c r="M11" s="83"/>
      <c r="O11" s="81">
        <v>3000</v>
      </c>
    </row>
    <row r="12" spans="1:15">
      <c r="A12" s="59">
        <v>44573</v>
      </c>
      <c r="B12" t="s">
        <v>212</v>
      </c>
      <c r="C12" t="s">
        <v>217</v>
      </c>
      <c r="D12" s="79">
        <v>3200</v>
      </c>
      <c r="E12" s="79"/>
      <c r="F12" s="79">
        <v>3200</v>
      </c>
      <c r="H12" s="81">
        <v>3200</v>
      </c>
      <c r="J12" s="79">
        <v>3200</v>
      </c>
      <c r="L12" s="81">
        <v>3200</v>
      </c>
      <c r="M12" s="83"/>
      <c r="O12" s="81">
        <v>3200</v>
      </c>
    </row>
    <row r="13" spans="1:15">
      <c r="A13" s="59">
        <v>44574</v>
      </c>
      <c r="B13" t="s">
        <v>216</v>
      </c>
      <c r="C13" t="s">
        <v>219</v>
      </c>
      <c r="D13" s="79">
        <v>6500</v>
      </c>
      <c r="E13" s="79"/>
      <c r="F13" s="79">
        <v>6500</v>
      </c>
      <c r="H13" s="81">
        <v>6500</v>
      </c>
      <c r="J13" s="79">
        <v>6000</v>
      </c>
      <c r="L13" s="81">
        <v>6500</v>
      </c>
      <c r="M13" s="83"/>
      <c r="O13" s="81">
        <v>6500</v>
      </c>
    </row>
    <row r="14" spans="1:15">
      <c r="A14" s="59">
        <v>44575</v>
      </c>
      <c r="B14" t="s">
        <v>208</v>
      </c>
      <c r="C14" t="s">
        <v>221</v>
      </c>
      <c r="D14" s="79">
        <v>6000</v>
      </c>
      <c r="E14" s="79"/>
      <c r="F14" s="79">
        <v>6000</v>
      </c>
      <c r="H14" s="81">
        <v>6000</v>
      </c>
      <c r="J14" s="79">
        <v>6300</v>
      </c>
      <c r="L14" s="81">
        <v>6000</v>
      </c>
      <c r="M14" s="83"/>
      <c r="O14" s="81">
        <v>6000</v>
      </c>
    </row>
    <row r="15" spans="1:15">
      <c r="A15" s="59">
        <v>44576</v>
      </c>
      <c r="B15" t="s">
        <v>212</v>
      </c>
      <c r="C15" t="s">
        <v>209</v>
      </c>
      <c r="D15" s="79">
        <v>2300</v>
      </c>
      <c r="E15" s="79"/>
      <c r="F15" s="79">
        <v>2300</v>
      </c>
      <c r="H15" s="82">
        <v>2300</v>
      </c>
      <c r="J15" s="79">
        <v>6500</v>
      </c>
      <c r="L15" s="82">
        <v>2300</v>
      </c>
      <c r="M15" s="83"/>
      <c r="O15" s="82">
        <v>2300</v>
      </c>
    </row>
    <row r="18" spans="1:14" ht="15" customHeight="1">
      <c r="A18" s="101" t="s">
        <v>222</v>
      </c>
      <c r="B18" s="85" t="s">
        <v>193</v>
      </c>
      <c r="C18" s="86" t="s">
        <v>193</v>
      </c>
      <c r="D18" s="86" t="s">
        <v>193</v>
      </c>
      <c r="E18" s="86"/>
      <c r="F18" s="86" t="s">
        <v>193</v>
      </c>
      <c r="G18" s="86" t="s">
        <v>193</v>
      </c>
      <c r="H18" s="86" t="s">
        <v>198</v>
      </c>
      <c r="I18" s="86" t="s">
        <v>198</v>
      </c>
      <c r="J18" s="86" t="s">
        <v>198</v>
      </c>
      <c r="K18" s="86" t="s">
        <v>198</v>
      </c>
      <c r="L18" s="86" t="s">
        <v>198</v>
      </c>
      <c r="M18" s="86" t="s">
        <v>223</v>
      </c>
      <c r="N18" s="87" t="s">
        <v>191</v>
      </c>
    </row>
    <row r="19" spans="1:14" ht="29.25">
      <c r="A19" s="101" t="s">
        <v>224</v>
      </c>
      <c r="B19" s="88" t="s">
        <v>225</v>
      </c>
      <c r="C19" s="89" t="s">
        <v>226</v>
      </c>
      <c r="D19" s="89" t="s">
        <v>227</v>
      </c>
      <c r="E19" s="89"/>
      <c r="F19" s="89" t="s">
        <v>227</v>
      </c>
      <c r="G19" s="89" t="s">
        <v>228</v>
      </c>
      <c r="H19" s="90" t="s">
        <v>229</v>
      </c>
      <c r="I19" s="89" t="s">
        <v>230</v>
      </c>
      <c r="J19" s="89" t="s">
        <v>230</v>
      </c>
      <c r="K19" s="89" t="s">
        <v>231</v>
      </c>
      <c r="L19" s="89" t="s">
        <v>232</v>
      </c>
      <c r="M19" s="89" t="s">
        <v>200</v>
      </c>
      <c r="N19" s="91" t="s">
        <v>200</v>
      </c>
    </row>
    <row r="20" spans="1:14" s="84" customFormat="1">
      <c r="A20" s="101" t="s">
        <v>233</v>
      </c>
      <c r="B20" s="92">
        <v>3000</v>
      </c>
      <c r="C20" s="93">
        <v>4000</v>
      </c>
      <c r="D20" s="93">
        <v>6000</v>
      </c>
      <c r="E20" s="93"/>
      <c r="F20" s="93">
        <v>8000</v>
      </c>
      <c r="G20" s="93">
        <v>10000</v>
      </c>
      <c r="H20" s="93">
        <v>16000</v>
      </c>
      <c r="I20" s="93">
        <v>18000</v>
      </c>
      <c r="J20" s="93">
        <v>20000</v>
      </c>
      <c r="K20" s="93">
        <v>25000</v>
      </c>
      <c r="L20" s="93">
        <v>10000</v>
      </c>
      <c r="M20" s="93">
        <v>30000</v>
      </c>
      <c r="N20" s="94">
        <v>14000</v>
      </c>
    </row>
    <row r="21" spans="1:14">
      <c r="A21" s="101" t="s">
        <v>234</v>
      </c>
      <c r="B21" s="95">
        <v>45665</v>
      </c>
      <c r="C21" s="96">
        <v>45663</v>
      </c>
      <c r="D21" s="96">
        <v>45674</v>
      </c>
      <c r="E21" s="96"/>
      <c r="F21" s="96">
        <v>45667</v>
      </c>
      <c r="G21" s="96">
        <v>45666</v>
      </c>
      <c r="H21" s="96">
        <v>45658</v>
      </c>
      <c r="I21" s="97" t="s">
        <v>235</v>
      </c>
      <c r="J21" s="96">
        <v>45676</v>
      </c>
      <c r="K21" s="96">
        <v>45662</v>
      </c>
      <c r="L21" s="96">
        <v>45782</v>
      </c>
      <c r="M21" s="96">
        <v>45906</v>
      </c>
      <c r="N21" s="98">
        <v>45664</v>
      </c>
    </row>
    <row r="24" spans="1:14">
      <c r="A24" s="99" t="s">
        <v>236</v>
      </c>
      <c r="B24" s="99" t="s">
        <v>237</v>
      </c>
      <c r="C24" s="99" t="s">
        <v>203</v>
      </c>
    </row>
    <row r="25" spans="1:14">
      <c r="A25" s="100" t="s">
        <v>226</v>
      </c>
      <c r="B25" s="100">
        <f>HLOOKUP(A25,B19:$N$21,2,FALSE)</f>
        <v>4000</v>
      </c>
      <c r="C25" s="100">
        <f>HLOOKUP(A25,$A$19:$N$21,3,FALSE)</f>
        <v>45663</v>
      </c>
    </row>
    <row r="26" spans="1:14">
      <c r="A26" s="100" t="s">
        <v>228</v>
      </c>
      <c r="B26" s="100">
        <f>HLOOKUP(A26,A19:N$21,2,FALSE)</f>
        <v>10000</v>
      </c>
      <c r="C26" s="100">
        <f>HLOOKUP(A26,$A$19:$N$21,3,FALSE)</f>
        <v>45666</v>
      </c>
    </row>
    <row r="27" spans="1:14">
      <c r="A27" s="100" t="s">
        <v>230</v>
      </c>
      <c r="B27" s="100">
        <f>HLOOKUP(A27,$A$19:$N$21,2,FALSE)</f>
        <v>18000</v>
      </c>
      <c r="C27" s="100" t="str">
        <f>HLOOKUP(A27,$A$19:$N$21,3,FALSE)</f>
        <v>03-0102025</v>
      </c>
    </row>
    <row r="28" spans="1:14">
      <c r="A28" s="100" t="s">
        <v>229</v>
      </c>
      <c r="B28" s="100">
        <f>HLOOKUP(A28,$A$19:$N$21,2,FALSE)</f>
        <v>16000</v>
      </c>
      <c r="C28" s="100">
        <f>HLOOKUP(A28,$A$19:$N$21,3,FALSE)</f>
        <v>45658</v>
      </c>
    </row>
    <row r="29" spans="1:14">
      <c r="A29" s="100" t="s">
        <v>231</v>
      </c>
      <c r="B29" s="100">
        <f>HLOOKUP(A29,$A$19:$N$21,2,FALSE)</f>
        <v>25000</v>
      </c>
      <c r="C29" s="100">
        <f>HLOOKUP(A29,$A$19:$N$21,3,FALSE)</f>
        <v>45662</v>
      </c>
    </row>
    <row r="30" spans="1:14">
      <c r="A30" s="100" t="s">
        <v>232</v>
      </c>
      <c r="B30" s="100">
        <f>HLOOKUP(A30,$A$19:$N$21,2,FALSE)</f>
        <v>10000</v>
      </c>
      <c r="C30" s="100">
        <f>HLOOKUP(A30,$A$19:$N$21,3,FALSE)</f>
        <v>45782</v>
      </c>
    </row>
    <row r="31" spans="1:14">
      <c r="A31" s="100" t="s">
        <v>238</v>
      </c>
      <c r="B31" s="100" t="e">
        <f>HLOOKUP(A31,$A$19:$N$21,2,FALSE)</f>
        <v>#N/A</v>
      </c>
      <c r="C31" s="100"/>
    </row>
    <row r="32" spans="1:14">
      <c r="A32" s="100" t="s">
        <v>239</v>
      </c>
      <c r="B32" s="100" t="e">
        <f>HLOOKUP(A32,$A$19:$N$21,2,FALSE)</f>
        <v>#N/A</v>
      </c>
      <c r="C32" s="100"/>
    </row>
    <row r="37" spans="1:13" ht="29.25">
      <c r="A37" s="104" t="s">
        <v>240</v>
      </c>
      <c r="B37" s="104" t="s">
        <v>237</v>
      </c>
      <c r="C37" s="104" t="s">
        <v>203</v>
      </c>
      <c r="D37" s="104" t="s">
        <v>241</v>
      </c>
      <c r="E37" s="108"/>
      <c r="F37" s="103" t="s">
        <v>236</v>
      </c>
      <c r="G37" s="100" t="s">
        <v>226</v>
      </c>
      <c r="H37" s="100" t="s">
        <v>228</v>
      </c>
      <c r="I37" s="100" t="s">
        <v>230</v>
      </c>
      <c r="J37" s="102" t="s">
        <v>229</v>
      </c>
      <c r="K37" s="100" t="s">
        <v>231</v>
      </c>
      <c r="L37" s="100"/>
      <c r="M37" s="100"/>
    </row>
    <row r="38" spans="1:13">
      <c r="A38" s="105" t="s">
        <v>239</v>
      </c>
      <c r="B38" s="106">
        <v>2025</v>
      </c>
      <c r="C38" s="107">
        <v>45359</v>
      </c>
      <c r="D38" s="105" t="s">
        <v>193</v>
      </c>
      <c r="E38" s="109"/>
      <c r="F38" s="103" t="s">
        <v>237</v>
      </c>
      <c r="G38" s="100">
        <f>VLOOKUP($A$39,$A$37:$D$52,2,FALSE)</f>
        <v>4000</v>
      </c>
      <c r="H38" s="100">
        <f>VLOOKUP(A43,$A$37:$D$52,2,FALSE)</f>
        <v>10000</v>
      </c>
      <c r="I38" s="100">
        <f t="shared" ref="I38:K38" si="0">VLOOKUP($A$39,$A$37:$D$52,2,FALSE)</f>
        <v>4000</v>
      </c>
      <c r="J38" s="100" t="e">
        <f t="shared" ref="J38" si="1">VLOOKUP(C43,$A$37:$D$52,2,FALSE)</f>
        <v>#N/A</v>
      </c>
      <c r="K38" s="100">
        <f t="shared" ref="K38" si="2">VLOOKUP($A$39,$A$37:$D$52,2,FALSE)</f>
        <v>4000</v>
      </c>
      <c r="L38" s="100"/>
      <c r="M38" s="100"/>
    </row>
    <row r="39" spans="1:13">
      <c r="A39" s="105" t="s">
        <v>226</v>
      </c>
      <c r="B39" s="106">
        <v>4000</v>
      </c>
      <c r="C39" s="107">
        <v>45456</v>
      </c>
      <c r="D39" s="105" t="s">
        <v>193</v>
      </c>
      <c r="E39" s="109"/>
      <c r="F39" s="103" t="s">
        <v>203</v>
      </c>
      <c r="G39" s="100"/>
      <c r="H39" s="100"/>
      <c r="I39" s="100"/>
      <c r="J39" s="100"/>
      <c r="K39" s="100"/>
      <c r="L39" s="100"/>
      <c r="M39" s="100"/>
    </row>
    <row r="40" spans="1:13">
      <c r="A40" s="105" t="s">
        <v>238</v>
      </c>
      <c r="B40" s="106">
        <v>6000</v>
      </c>
      <c r="C40" s="107">
        <v>45524</v>
      </c>
      <c r="D40" s="105" t="s">
        <v>193</v>
      </c>
      <c r="E40" s="109"/>
      <c r="F40" s="103" t="s">
        <v>241</v>
      </c>
      <c r="G40" s="100"/>
      <c r="H40" s="100"/>
      <c r="I40" s="100"/>
      <c r="J40" s="100"/>
      <c r="K40" s="100"/>
      <c r="L40" s="100"/>
      <c r="M40" s="100"/>
    </row>
    <row r="41" spans="1:13">
      <c r="A41" s="105" t="s">
        <v>226</v>
      </c>
      <c r="B41" s="106">
        <v>7000</v>
      </c>
      <c r="C41" s="107">
        <v>45557</v>
      </c>
      <c r="D41" s="105" t="s">
        <v>196</v>
      </c>
      <c r="E41" s="110"/>
    </row>
    <row r="42" spans="1:13">
      <c r="A42" s="105" t="s">
        <v>238</v>
      </c>
      <c r="B42" s="106">
        <v>8000</v>
      </c>
      <c r="C42" s="107">
        <v>45658</v>
      </c>
      <c r="D42" s="105" t="s">
        <v>198</v>
      </c>
      <c r="E42" s="110"/>
    </row>
    <row r="43" spans="1:13">
      <c r="A43" s="105" t="s">
        <v>228</v>
      </c>
      <c r="B43" s="106">
        <v>10000</v>
      </c>
      <c r="C43" s="107">
        <v>45660</v>
      </c>
      <c r="D43" s="105" t="s">
        <v>198</v>
      </c>
      <c r="E43" s="110"/>
    </row>
    <row r="44" spans="1:13">
      <c r="A44" s="105" t="s">
        <v>200</v>
      </c>
      <c r="B44" s="106">
        <v>10000</v>
      </c>
      <c r="C44" s="107">
        <v>45661</v>
      </c>
      <c r="D44" s="105" t="s">
        <v>191</v>
      </c>
      <c r="E44" s="110"/>
    </row>
    <row r="45" spans="1:13">
      <c r="A45" s="105" t="s">
        <v>229</v>
      </c>
      <c r="B45" s="106">
        <v>14000</v>
      </c>
      <c r="C45" s="107">
        <v>45662</v>
      </c>
      <c r="D45" s="105" t="s">
        <v>198</v>
      </c>
      <c r="E45" s="110"/>
    </row>
    <row r="46" spans="1:13">
      <c r="A46" s="105" t="s">
        <v>230</v>
      </c>
      <c r="B46" s="106">
        <v>16000</v>
      </c>
      <c r="C46" s="107">
        <v>45663</v>
      </c>
      <c r="D46" s="105" t="s">
        <v>198</v>
      </c>
      <c r="E46" s="110"/>
    </row>
    <row r="47" spans="1:13">
      <c r="A47" s="105" t="s">
        <v>231</v>
      </c>
      <c r="B47" s="106">
        <v>18000</v>
      </c>
      <c r="C47" s="107">
        <v>45664</v>
      </c>
      <c r="D47" s="105" t="s">
        <v>191</v>
      </c>
      <c r="E47" s="110"/>
    </row>
    <row r="48" spans="1:13">
      <c r="A48" s="105" t="s">
        <v>232</v>
      </c>
      <c r="B48" s="106">
        <v>20000</v>
      </c>
      <c r="C48" s="107">
        <v>45665</v>
      </c>
      <c r="D48" s="105" t="s">
        <v>193</v>
      </c>
      <c r="E48" s="110"/>
    </row>
    <row r="49" spans="1:10">
      <c r="A49" s="105" t="s">
        <v>239</v>
      </c>
      <c r="B49" s="106">
        <v>25000</v>
      </c>
      <c r="C49" s="107">
        <v>45666</v>
      </c>
      <c r="D49" s="105" t="s">
        <v>196</v>
      </c>
      <c r="E49" s="110"/>
    </row>
    <row r="50" spans="1:10">
      <c r="A50" s="105" t="s">
        <v>239</v>
      </c>
      <c r="B50" s="106">
        <v>25000</v>
      </c>
      <c r="C50" s="107">
        <v>45667</v>
      </c>
      <c r="D50" s="105" t="s">
        <v>198</v>
      </c>
      <c r="E50" s="110"/>
    </row>
    <row r="51" spans="1:10">
      <c r="A51" s="105" t="s">
        <v>242</v>
      </c>
      <c r="B51" s="106">
        <v>28000</v>
      </c>
      <c r="C51" s="107">
        <v>45668</v>
      </c>
      <c r="D51" s="105" t="s">
        <v>191</v>
      </c>
      <c r="E51" s="110"/>
    </row>
    <row r="52" spans="1:10">
      <c r="A52" s="105" t="s">
        <v>230</v>
      </c>
      <c r="B52" s="106">
        <v>30000</v>
      </c>
      <c r="C52" s="107">
        <v>45669</v>
      </c>
      <c r="D52" s="105" t="s">
        <v>198</v>
      </c>
      <c r="E52" s="110"/>
    </row>
    <row r="53" spans="1:10">
      <c r="A53" t="s">
        <v>200</v>
      </c>
    </row>
    <row r="54" spans="1:10">
      <c r="A54" t="s">
        <v>229</v>
      </c>
    </row>
    <row r="55" spans="1:10">
      <c r="A55" t="s">
        <v>242</v>
      </c>
    </row>
    <row r="61" spans="1:10">
      <c r="A61" s="115" t="s">
        <v>240</v>
      </c>
      <c r="B61" s="115" t="s">
        <v>237</v>
      </c>
    </row>
    <row r="62" spans="1:10" ht="43.5">
      <c r="A62" s="116" t="s">
        <v>239</v>
      </c>
      <c r="B62" s="117">
        <v>2025</v>
      </c>
      <c r="F62" s="111" t="s">
        <v>236</v>
      </c>
      <c r="G62" s="112" t="s">
        <v>40</v>
      </c>
      <c r="H62" s="113" t="s">
        <v>243</v>
      </c>
      <c r="J62" s="114" t="s">
        <v>244</v>
      </c>
    </row>
    <row r="63" spans="1:10">
      <c r="A63" s="116" t="s">
        <v>226</v>
      </c>
      <c r="B63" s="117">
        <v>4000</v>
      </c>
      <c r="F63" s="111" t="s">
        <v>245</v>
      </c>
      <c r="G63" s="100">
        <f>LOOKUP(F63,$A$61:$A$76,B61:B76)</f>
        <v>18000</v>
      </c>
      <c r="H63" s="100">
        <f>LOOKUP(F63,$A$61:$B$76)</f>
        <v>18000</v>
      </c>
    </row>
    <row r="64" spans="1:10">
      <c r="A64" s="116" t="s">
        <v>238</v>
      </c>
      <c r="B64" s="117">
        <v>6000</v>
      </c>
      <c r="F64" s="111" t="s">
        <v>226</v>
      </c>
      <c r="G64" s="100">
        <f>LOOKUP(F68,$A$61:$A$76,B61:B76)</f>
        <v>2025</v>
      </c>
      <c r="H64" s="100">
        <f t="shared" ref="H64:H68" si="3">LOOKUP(F64,$A$61:$B$76)</f>
        <v>4000</v>
      </c>
    </row>
    <row r="65" spans="1:8">
      <c r="A65" s="116" t="s">
        <v>226</v>
      </c>
      <c r="B65" s="117">
        <v>7000</v>
      </c>
      <c r="F65" s="111" t="s">
        <v>229</v>
      </c>
      <c r="G65" s="100">
        <f t="shared" ref="G65" si="4">LOOKUP(F65,$A$61:$A$76,B63:B78)</f>
        <v>6000</v>
      </c>
      <c r="H65" s="100">
        <f t="shared" si="3"/>
        <v>2025</v>
      </c>
    </row>
    <row r="66" spans="1:8">
      <c r="A66" s="116" t="s">
        <v>238</v>
      </c>
      <c r="B66" s="117">
        <v>8000</v>
      </c>
      <c r="F66" s="111" t="s">
        <v>246</v>
      </c>
      <c r="G66" s="100" t="e">
        <f t="shared" ref="G66" si="5">LOOKUP(F70,$A$61:$A$76,B63:B78)</f>
        <v>#N/A</v>
      </c>
      <c r="H66" s="100">
        <f t="shared" si="3"/>
        <v>4000</v>
      </c>
    </row>
    <row r="67" spans="1:8">
      <c r="A67" s="116" t="s">
        <v>228</v>
      </c>
      <c r="B67" s="117">
        <v>10000</v>
      </c>
      <c r="F67" s="111" t="s">
        <v>242</v>
      </c>
      <c r="G67" s="100">
        <f t="shared" ref="G67" si="6">LOOKUP(F67,$A$61:$A$76,B65:B80)</f>
        <v>8000</v>
      </c>
      <c r="H67" s="100">
        <f t="shared" si="3"/>
        <v>2025</v>
      </c>
    </row>
    <row r="68" spans="1:8">
      <c r="A68" s="116" t="s">
        <v>200</v>
      </c>
      <c r="B68" s="117">
        <v>10000</v>
      </c>
      <c r="F68" s="111" t="s">
        <v>225</v>
      </c>
      <c r="G68" s="100" t="e">
        <f t="shared" ref="G68" si="7">LOOKUP(F72,$A$61:$A$76,B65:B80)</f>
        <v>#N/A</v>
      </c>
      <c r="H68" s="100">
        <f t="shared" si="3"/>
        <v>2025</v>
      </c>
    </row>
    <row r="69" spans="1:8">
      <c r="A69" s="116" t="s">
        <v>229</v>
      </c>
      <c r="B69" s="117">
        <v>14000</v>
      </c>
    </row>
    <row r="70" spans="1:8">
      <c r="A70" s="116" t="s">
        <v>230</v>
      </c>
      <c r="B70" s="117">
        <v>16000</v>
      </c>
    </row>
    <row r="71" spans="1:8">
      <c r="A71" s="116" t="s">
        <v>231</v>
      </c>
      <c r="B71" s="117">
        <v>18000</v>
      </c>
    </row>
    <row r="72" spans="1:8">
      <c r="A72" s="116" t="s">
        <v>232</v>
      </c>
      <c r="B72" s="117">
        <v>20000</v>
      </c>
    </row>
    <row r="73" spans="1:8">
      <c r="A73" s="116" t="s">
        <v>239</v>
      </c>
      <c r="B73" s="117">
        <v>25000</v>
      </c>
    </row>
    <row r="74" spans="1:8">
      <c r="A74" s="116" t="s">
        <v>239</v>
      </c>
      <c r="B74" s="117">
        <v>25000</v>
      </c>
    </row>
    <row r="75" spans="1:8">
      <c r="A75" s="116" t="s">
        <v>242</v>
      </c>
      <c r="B75" s="117">
        <v>28000</v>
      </c>
    </row>
    <row r="76" spans="1:8">
      <c r="A76" s="116" t="s">
        <v>230</v>
      </c>
      <c r="B76" s="117">
        <v>30000</v>
      </c>
    </row>
    <row r="84" spans="1:10" ht="12" customHeight="1"/>
    <row r="85" spans="1:10" ht="29.25" customHeight="1">
      <c r="A85" s="122" t="s">
        <v>240</v>
      </c>
      <c r="B85" s="122" t="s">
        <v>237</v>
      </c>
      <c r="C85" s="122" t="s">
        <v>203</v>
      </c>
      <c r="D85" s="122" t="s">
        <v>241</v>
      </c>
      <c r="F85" s="111" t="s">
        <v>236</v>
      </c>
      <c r="G85" s="119" t="s">
        <v>247</v>
      </c>
      <c r="H85" s="118" t="s">
        <v>243</v>
      </c>
      <c r="I85" s="118" t="s">
        <v>248</v>
      </c>
      <c r="J85" s="120" t="s">
        <v>249</v>
      </c>
    </row>
    <row r="86" spans="1:10">
      <c r="A86" s="105" t="s">
        <v>239</v>
      </c>
      <c r="B86" s="106">
        <v>2025</v>
      </c>
      <c r="C86" s="107">
        <v>45359</v>
      </c>
      <c r="D86" s="105" t="s">
        <v>193</v>
      </c>
      <c r="F86" s="111" t="s">
        <v>245</v>
      </c>
      <c r="G86" s="100">
        <f>LOOKUP(F87,$A$85:$A$101,$B$85:$B$101)</f>
        <v>30000</v>
      </c>
      <c r="H86" t="str">
        <f>LOOKUP(F86,A85:D101)</f>
        <v>North</v>
      </c>
      <c r="I86" s="100"/>
      <c r="J86" s="100"/>
    </row>
    <row r="87" spans="1:10">
      <c r="A87" s="105" t="s">
        <v>226</v>
      </c>
      <c r="B87" s="106">
        <v>4000</v>
      </c>
      <c r="C87" s="107">
        <v>45456</v>
      </c>
      <c r="D87" s="105" t="s">
        <v>193</v>
      </c>
      <c r="F87" s="111" t="s">
        <v>226</v>
      </c>
      <c r="G87" s="100">
        <f t="shared" ref="G87:G91" si="8">LOOKUP(F88,$A$85:$A$101,$B$85:$B$101)</f>
        <v>14000</v>
      </c>
      <c r="H87" t="str">
        <f t="shared" ref="H87:H92" si="9">LOOKUP(F87,A86:D102)</f>
        <v>North</v>
      </c>
      <c r="I87" s="100"/>
      <c r="J87" s="100"/>
    </row>
    <row r="88" spans="1:10">
      <c r="A88" s="105" t="s">
        <v>238</v>
      </c>
      <c r="B88" s="106">
        <v>6000</v>
      </c>
      <c r="C88" s="107">
        <v>45524</v>
      </c>
      <c r="D88" s="105" t="s">
        <v>193</v>
      </c>
      <c r="F88" s="111" t="s">
        <v>229</v>
      </c>
      <c r="G88" s="100">
        <f t="shared" si="8"/>
        <v>30000</v>
      </c>
      <c r="H88" t="e">
        <f t="shared" si="9"/>
        <v>#N/A</v>
      </c>
      <c r="I88" s="100"/>
      <c r="J88" s="100"/>
    </row>
    <row r="89" spans="1:10">
      <c r="A89" s="105" t="s">
        <v>226</v>
      </c>
      <c r="B89" s="106">
        <v>7000</v>
      </c>
      <c r="C89" s="107">
        <v>45557</v>
      </c>
      <c r="D89" s="105" t="s">
        <v>196</v>
      </c>
      <c r="F89" s="111" t="s">
        <v>246</v>
      </c>
      <c r="G89" s="100">
        <f t="shared" si="8"/>
        <v>28000</v>
      </c>
      <c r="H89" t="str">
        <f t="shared" si="9"/>
        <v>West</v>
      </c>
      <c r="I89" s="100"/>
      <c r="J89" s="100"/>
    </row>
    <row r="90" spans="1:10">
      <c r="A90" s="105" t="s">
        <v>238</v>
      </c>
      <c r="B90" s="106">
        <v>8000</v>
      </c>
      <c r="C90" s="107">
        <v>45658</v>
      </c>
      <c r="D90" s="105" t="s">
        <v>198</v>
      </c>
      <c r="F90" s="111" t="s">
        <v>242</v>
      </c>
      <c r="G90" s="100">
        <f t="shared" si="8"/>
        <v>2025</v>
      </c>
      <c r="H90" t="e">
        <f t="shared" si="9"/>
        <v>#N/A</v>
      </c>
      <c r="I90" s="100"/>
      <c r="J90" s="100"/>
    </row>
    <row r="91" spans="1:10">
      <c r="A91" s="105" t="s">
        <v>228</v>
      </c>
      <c r="B91" s="106">
        <v>10000</v>
      </c>
      <c r="C91" s="107">
        <v>45660</v>
      </c>
      <c r="D91" s="105" t="s">
        <v>198</v>
      </c>
      <c r="F91" s="111" t="s">
        <v>225</v>
      </c>
      <c r="G91" s="100" t="e">
        <f t="shared" si="8"/>
        <v>#N/A</v>
      </c>
      <c r="H91" t="str">
        <f t="shared" si="9"/>
        <v>North</v>
      </c>
      <c r="I91" s="100"/>
      <c r="J91" s="100"/>
    </row>
    <row r="92" spans="1:10">
      <c r="A92" s="105" t="s">
        <v>200</v>
      </c>
      <c r="B92" s="106">
        <v>10000</v>
      </c>
      <c r="C92" s="107">
        <v>45661</v>
      </c>
      <c r="D92" s="105" t="s">
        <v>191</v>
      </c>
      <c r="F92" s="100"/>
      <c r="G92" s="100"/>
      <c r="H92" t="e">
        <f t="shared" si="9"/>
        <v>#N/A</v>
      </c>
      <c r="I92" s="100"/>
      <c r="J92" s="100"/>
    </row>
    <row r="93" spans="1:10" hidden="1">
      <c r="A93" s="105"/>
      <c r="B93" s="106"/>
      <c r="C93" s="107"/>
      <c r="D93" s="105"/>
      <c r="F93" s="121"/>
      <c r="G93" s="121"/>
      <c r="H93" s="121"/>
      <c r="I93" s="121"/>
      <c r="J93" s="121"/>
    </row>
    <row r="94" spans="1:10">
      <c r="A94" s="105" t="s">
        <v>229</v>
      </c>
      <c r="B94" s="106">
        <v>14000</v>
      </c>
      <c r="C94" s="107">
        <v>45662</v>
      </c>
      <c r="D94" s="105" t="s">
        <v>198</v>
      </c>
    </row>
    <row r="95" spans="1:10">
      <c r="A95" s="105" t="s">
        <v>230</v>
      </c>
      <c r="B95" s="106">
        <v>16000</v>
      </c>
      <c r="C95" s="107">
        <v>45663</v>
      </c>
      <c r="D95" s="105" t="s">
        <v>198</v>
      </c>
    </row>
    <row r="96" spans="1:10">
      <c r="A96" s="105" t="s">
        <v>231</v>
      </c>
      <c r="B96" s="106">
        <v>18000</v>
      </c>
      <c r="C96" s="107">
        <v>45664</v>
      </c>
      <c r="D96" s="105" t="s">
        <v>191</v>
      </c>
    </row>
    <row r="97" spans="1:4">
      <c r="A97" s="105" t="s">
        <v>232</v>
      </c>
      <c r="B97" s="106">
        <v>20000</v>
      </c>
      <c r="C97" s="107">
        <v>45665</v>
      </c>
      <c r="D97" s="105" t="s">
        <v>193</v>
      </c>
    </row>
    <row r="98" spans="1:4">
      <c r="A98" s="105" t="s">
        <v>239</v>
      </c>
      <c r="B98" s="106">
        <v>25000</v>
      </c>
      <c r="C98" s="107">
        <v>45666</v>
      </c>
      <c r="D98" s="105" t="s">
        <v>196</v>
      </c>
    </row>
    <row r="99" spans="1:4">
      <c r="A99" s="105" t="s">
        <v>239</v>
      </c>
      <c r="B99" s="106">
        <v>25000</v>
      </c>
      <c r="C99" s="107">
        <v>45667</v>
      </c>
      <c r="D99" s="105" t="s">
        <v>198</v>
      </c>
    </row>
    <row r="100" spans="1:4">
      <c r="A100" s="105" t="s">
        <v>242</v>
      </c>
      <c r="B100" s="106">
        <v>28000</v>
      </c>
      <c r="C100" s="107">
        <v>45668</v>
      </c>
      <c r="D100" s="105" t="s">
        <v>191</v>
      </c>
    </row>
    <row r="101" spans="1:4">
      <c r="A101" s="105" t="s">
        <v>230</v>
      </c>
      <c r="B101" s="106">
        <v>30000</v>
      </c>
      <c r="C101" s="107">
        <v>45669</v>
      </c>
      <c r="D101" s="105" t="s">
        <v>198</v>
      </c>
    </row>
  </sheetData>
  <sortState xmlns:xlrd2="http://schemas.microsoft.com/office/spreadsheetml/2017/richdata2" ref="J2:J15">
    <sortCondition ref="J2:J15"/>
  </sortState>
  <conditionalFormatting sqref="D2:E15">
    <cfRule type="cellIs" dxfId="22" priority="11" operator="greaterThan">
      <formula>5000</formula>
    </cfRule>
  </conditionalFormatting>
  <conditionalFormatting sqref="C2:C15">
    <cfRule type="containsText" dxfId="21" priority="8" operator="containsText" text="colors">
      <formula>NOT(ISERROR(SEARCH("colors",C2)))</formula>
    </cfRule>
  </conditionalFormatting>
  <conditionalFormatting sqref="H2:H15">
    <cfRule type="top10" dxfId="20" priority="5" percent="1" bottom="1" rank="10"/>
  </conditionalFormatting>
  <conditionalFormatting sqref="J2:J15">
    <cfRule type="dataBar" priority="4">
      <dataBar>
        <cfvo type="min"/>
        <cfvo type="max"/>
        <color rgb="FF638EC6"/>
      </dataBar>
      <extLst>
        <ext xmlns:x14="http://schemas.microsoft.com/office/spreadsheetml/2009/9/main" uri="{B025F937-C7B1-47D3-B67F-A62EFF666E3E}">
          <x14:id>{3D962C36-B8A3-449F-A064-A03FD7F618A6}</x14:id>
        </ext>
      </extLst>
    </cfRule>
  </conditionalFormatting>
  <conditionalFormatting sqref="L2:M15">
    <cfRule type="colorScale" priority="2">
      <colorScale>
        <cfvo type="min"/>
        <cfvo type="percentile" val="50"/>
        <cfvo type="max"/>
        <color rgb="FF63BE7B"/>
        <color rgb="FFFFEB84"/>
        <color rgb="FFF8696B"/>
      </colorScale>
    </cfRule>
  </conditionalFormatting>
  <conditionalFormatting sqref="F2:F15">
    <cfRule type="duplicateValues" dxfId="19" priority="12"/>
  </conditionalFormatting>
  <pageMargins left="0.7" right="0.7" top="0.75" bottom="0.75" header="0.3" footer="0.3"/>
  <ignoredErrors>
    <ignoredError sqref="G68" evalError="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D962C36-B8A3-449F-A064-A03FD7F618A6}">
            <x14:dataBar minLength="0" maxLength="100" gradient="0">
              <x14:cfvo type="autoMin"/>
              <x14:cfvo type="autoMax"/>
              <x14:negativeFillColor rgb="FFFF0000"/>
              <x14:axisColor rgb="FF000000"/>
            </x14:dataBar>
          </x14:cfRule>
          <xm:sqref>J2:J15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B5099-0F61-4ADD-92C8-C823E282C2F6}">
  <dimension ref="A3:B8"/>
  <sheetViews>
    <sheetView workbookViewId="0">
      <selection activeCell="A2" sqref="A2:B8"/>
    </sheetView>
  </sheetViews>
  <sheetFormatPr defaultRowHeight="15"/>
  <cols>
    <col min="1" max="1" width="10.625" bestFit="1" customWidth="1"/>
    <col min="2" max="2" width="11.875" bestFit="1" customWidth="1"/>
  </cols>
  <sheetData>
    <row r="3" spans="1:2">
      <c r="A3" s="131" t="s">
        <v>241</v>
      </c>
      <c r="B3" t="s">
        <v>250</v>
      </c>
    </row>
    <row r="4" spans="1:2">
      <c r="A4" t="s">
        <v>193</v>
      </c>
      <c r="B4" s="56">
        <v>467</v>
      </c>
    </row>
    <row r="5" spans="1:2">
      <c r="A5" t="s">
        <v>198</v>
      </c>
      <c r="B5" s="56">
        <v>347</v>
      </c>
    </row>
    <row r="6" spans="1:2">
      <c r="A6" t="s">
        <v>191</v>
      </c>
      <c r="B6" s="56">
        <v>2518</v>
      </c>
    </row>
    <row r="7" spans="1:2">
      <c r="A7" t="s">
        <v>196</v>
      </c>
      <c r="B7" s="56">
        <v>3497</v>
      </c>
    </row>
    <row r="8" spans="1:2">
      <c r="A8" t="s">
        <v>251</v>
      </c>
      <c r="B8" s="56">
        <v>6829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0531-8E56-4DBC-830B-997232D1B4BB}">
  <dimension ref="A3:B24"/>
  <sheetViews>
    <sheetView topLeftCell="A13" workbookViewId="0">
      <selection activeCell="A3" sqref="A3:I26"/>
    </sheetView>
  </sheetViews>
  <sheetFormatPr defaultRowHeight="15"/>
  <cols>
    <col min="1" max="1" width="15" bestFit="1" customWidth="1"/>
    <col min="2" max="2" width="11.875" bestFit="1" customWidth="1"/>
  </cols>
  <sheetData>
    <row r="3" spans="1:2">
      <c r="A3" s="131" t="s">
        <v>203</v>
      </c>
      <c r="B3" t="s">
        <v>250</v>
      </c>
    </row>
    <row r="4" spans="1:2">
      <c r="A4" s="60">
        <v>45292</v>
      </c>
      <c r="B4" s="56">
        <v>456</v>
      </c>
    </row>
    <row r="5" spans="1:2">
      <c r="A5" s="60">
        <v>45301.526319444441</v>
      </c>
      <c r="B5" s="56">
        <v>348</v>
      </c>
    </row>
    <row r="6" spans="1:2">
      <c r="A6" s="60">
        <v>45311.052627314813</v>
      </c>
      <c r="B6" s="56">
        <v>247</v>
      </c>
    </row>
    <row r="7" spans="1:2">
      <c r="A7" s="60">
        <v>45320.578946759262</v>
      </c>
      <c r="B7" s="56">
        <v>230</v>
      </c>
    </row>
    <row r="8" spans="1:2">
      <c r="A8" s="60">
        <v>45330.105266203704</v>
      </c>
      <c r="B8" s="56">
        <v>281</v>
      </c>
    </row>
    <row r="9" spans="1:2">
      <c r="A9" s="60">
        <v>45339.631574074076</v>
      </c>
      <c r="B9" s="56">
        <v>334</v>
      </c>
    </row>
    <row r="10" spans="1:2">
      <c r="A10" s="60">
        <v>45349.157893518517</v>
      </c>
      <c r="B10" s="56">
        <v>417</v>
      </c>
    </row>
    <row r="11" spans="1:2">
      <c r="A11" s="60">
        <v>45358.684212962966</v>
      </c>
      <c r="B11" s="56">
        <v>441</v>
      </c>
    </row>
    <row r="12" spans="1:2">
      <c r="A12" s="60">
        <v>45368.210520833331</v>
      </c>
      <c r="B12" s="56">
        <v>76</v>
      </c>
    </row>
    <row r="13" spans="1:2">
      <c r="A13" s="60">
        <v>45377.736840277779</v>
      </c>
      <c r="B13" s="56">
        <v>441</v>
      </c>
    </row>
    <row r="14" spans="1:2">
      <c r="A14" s="60">
        <v>45387.263159722221</v>
      </c>
      <c r="B14" s="56">
        <v>205</v>
      </c>
    </row>
    <row r="15" spans="1:2">
      <c r="A15" s="60">
        <v>45396.789479166669</v>
      </c>
      <c r="B15" s="56">
        <v>483</v>
      </c>
    </row>
    <row r="16" spans="1:2">
      <c r="A16" s="60">
        <v>45406.315787037034</v>
      </c>
      <c r="B16" s="56">
        <v>467</v>
      </c>
    </row>
    <row r="17" spans="1:2">
      <c r="A17" s="60">
        <v>45415.842106481483</v>
      </c>
      <c r="B17" s="56">
        <v>380</v>
      </c>
    </row>
    <row r="18" spans="1:2">
      <c r="A18" s="60">
        <v>45425.368425925924</v>
      </c>
      <c r="B18" s="56">
        <v>497</v>
      </c>
    </row>
    <row r="19" spans="1:2">
      <c r="A19" s="60">
        <v>45434.894733796296</v>
      </c>
      <c r="B19" s="56">
        <v>409</v>
      </c>
    </row>
    <row r="20" spans="1:2">
      <c r="A20" s="60">
        <v>45444.421053240738</v>
      </c>
      <c r="B20" s="56">
        <v>53</v>
      </c>
    </row>
    <row r="21" spans="1:2">
      <c r="A21" s="60">
        <v>45453.947372685187</v>
      </c>
      <c r="B21" s="56">
        <v>398</v>
      </c>
    </row>
    <row r="22" spans="1:2">
      <c r="A22" s="60">
        <v>45463.473680555559</v>
      </c>
      <c r="B22" s="56">
        <v>347</v>
      </c>
    </row>
    <row r="23" spans="1:2">
      <c r="A23" s="60">
        <v>45473</v>
      </c>
      <c r="B23" s="56">
        <v>319</v>
      </c>
    </row>
    <row r="24" spans="1:2">
      <c r="A24" s="60" t="s">
        <v>251</v>
      </c>
      <c r="B24" s="56">
        <v>6829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A152F-FE99-4604-8506-8AD392F091A4}">
  <dimension ref="A1:R71"/>
  <sheetViews>
    <sheetView tabSelected="1" workbookViewId="0">
      <selection activeCell="M5" sqref="M5:M6"/>
    </sheetView>
  </sheetViews>
  <sheetFormatPr defaultRowHeight="15"/>
  <cols>
    <col min="1" max="1" width="14.25" bestFit="1" customWidth="1"/>
    <col min="8" max="8" width="16.75" customWidth="1"/>
    <col min="9" max="9" width="10.25" customWidth="1"/>
    <col min="12" max="12" width="9.625" bestFit="1" customWidth="1"/>
    <col min="13" max="13" width="9.625" customWidth="1"/>
    <col min="14" max="14" width="15.75" customWidth="1"/>
    <col min="15" max="15" width="9.125" bestFit="1" customWidth="1"/>
    <col min="16" max="16" width="9.875" bestFit="1" customWidth="1"/>
    <col min="18" max="18" width="10.625" bestFit="1" customWidth="1"/>
  </cols>
  <sheetData>
    <row r="1" spans="1:9">
      <c r="A1" s="123" t="s">
        <v>203</v>
      </c>
      <c r="B1" s="124" t="s">
        <v>241</v>
      </c>
      <c r="C1" s="124" t="s">
        <v>252</v>
      </c>
      <c r="D1" s="124" t="s">
        <v>253</v>
      </c>
      <c r="E1" s="124" t="s">
        <v>254</v>
      </c>
    </row>
    <row r="2" spans="1:9">
      <c r="A2" s="125">
        <v>45292</v>
      </c>
      <c r="B2" s="126" t="s">
        <v>196</v>
      </c>
      <c r="C2" s="126" t="s">
        <v>255</v>
      </c>
      <c r="D2" s="126">
        <v>456</v>
      </c>
      <c r="E2" s="127">
        <v>93</v>
      </c>
    </row>
    <row r="3" spans="1:9">
      <c r="A3" s="125">
        <v>45301.526319444441</v>
      </c>
      <c r="B3" s="126" t="s">
        <v>191</v>
      </c>
      <c r="C3" s="126" t="s">
        <v>256</v>
      </c>
      <c r="D3" s="126">
        <v>348</v>
      </c>
      <c r="E3" s="127">
        <v>56</v>
      </c>
    </row>
    <row r="4" spans="1:9">
      <c r="A4" s="125">
        <v>45311.052627314813</v>
      </c>
      <c r="B4" s="126" t="s">
        <v>191</v>
      </c>
      <c r="C4" s="126" t="s">
        <v>255</v>
      </c>
      <c r="D4" s="126">
        <v>247</v>
      </c>
      <c r="E4" s="127">
        <v>76</v>
      </c>
    </row>
    <row r="5" spans="1:9">
      <c r="A5" s="125">
        <v>45320.578946759262</v>
      </c>
      <c r="B5" s="126" t="s">
        <v>196</v>
      </c>
      <c r="C5" s="126" t="s">
        <v>257</v>
      </c>
      <c r="D5" s="126">
        <v>230</v>
      </c>
      <c r="E5" s="127">
        <v>37</v>
      </c>
      <c r="H5" s="35" t="s">
        <v>258</v>
      </c>
    </row>
    <row r="6" spans="1:9">
      <c r="A6" s="125">
        <v>45330.105266203704</v>
      </c>
      <c r="B6" s="126" t="s">
        <v>196</v>
      </c>
      <c r="C6" s="126" t="s">
        <v>255</v>
      </c>
      <c r="D6" s="126">
        <v>281</v>
      </c>
      <c r="E6" s="127">
        <v>50</v>
      </c>
    </row>
    <row r="7" spans="1:9">
      <c r="A7" s="125">
        <v>45339.631574074076</v>
      </c>
      <c r="B7" s="126" t="s">
        <v>196</v>
      </c>
      <c r="C7" s="126" t="s">
        <v>256</v>
      </c>
      <c r="D7" s="126">
        <v>334</v>
      </c>
      <c r="E7" s="127">
        <v>52</v>
      </c>
      <c r="H7" s="131" t="s">
        <v>241</v>
      </c>
      <c r="I7" t="s">
        <v>250</v>
      </c>
    </row>
    <row r="8" spans="1:9">
      <c r="A8" s="125">
        <v>45349.157893518517</v>
      </c>
      <c r="B8" s="126" t="s">
        <v>191</v>
      </c>
      <c r="C8" s="126" t="s">
        <v>257</v>
      </c>
      <c r="D8" s="126">
        <v>417</v>
      </c>
      <c r="E8" s="127">
        <v>29</v>
      </c>
      <c r="H8" t="s">
        <v>193</v>
      </c>
      <c r="I8" s="56">
        <v>467</v>
      </c>
    </row>
    <row r="9" spans="1:9">
      <c r="A9" s="125">
        <v>45358.684212962966</v>
      </c>
      <c r="B9" s="126" t="s">
        <v>196</v>
      </c>
      <c r="C9" s="126" t="s">
        <v>257</v>
      </c>
      <c r="D9" s="126">
        <v>441</v>
      </c>
      <c r="E9" s="127">
        <v>44</v>
      </c>
      <c r="H9" t="s">
        <v>198</v>
      </c>
      <c r="I9" s="56">
        <v>347</v>
      </c>
    </row>
    <row r="10" spans="1:9">
      <c r="A10" s="125">
        <v>45368.210520833331</v>
      </c>
      <c r="B10" s="126" t="s">
        <v>191</v>
      </c>
      <c r="C10" s="126" t="s">
        <v>255</v>
      </c>
      <c r="D10" s="126">
        <v>76</v>
      </c>
      <c r="E10" s="127">
        <v>63</v>
      </c>
      <c r="H10" t="s">
        <v>191</v>
      </c>
      <c r="I10" s="56">
        <v>2518</v>
      </c>
    </row>
    <row r="11" spans="1:9">
      <c r="A11" s="125">
        <v>45377.736840277779</v>
      </c>
      <c r="B11" s="126" t="s">
        <v>196</v>
      </c>
      <c r="C11" s="126" t="s">
        <v>256</v>
      </c>
      <c r="D11" s="126">
        <v>441</v>
      </c>
      <c r="E11" s="127">
        <v>79</v>
      </c>
      <c r="H11" t="s">
        <v>196</v>
      </c>
      <c r="I11" s="56">
        <v>3497</v>
      </c>
    </row>
    <row r="12" spans="1:9">
      <c r="A12" s="125">
        <v>45387.263159722221</v>
      </c>
      <c r="B12" s="126" t="s">
        <v>191</v>
      </c>
      <c r="C12" s="126" t="s">
        <v>255</v>
      </c>
      <c r="D12" s="126">
        <v>205</v>
      </c>
      <c r="E12" s="127">
        <v>23</v>
      </c>
      <c r="H12" t="s">
        <v>251</v>
      </c>
      <c r="I12" s="56">
        <v>6829</v>
      </c>
    </row>
    <row r="13" spans="1:9">
      <c r="A13" s="125">
        <v>45396.789479166669</v>
      </c>
      <c r="B13" s="126" t="s">
        <v>196</v>
      </c>
      <c r="C13" s="126" t="s">
        <v>256</v>
      </c>
      <c r="D13" s="126">
        <v>483</v>
      </c>
      <c r="E13" s="127">
        <v>97</v>
      </c>
    </row>
    <row r="14" spans="1:9">
      <c r="A14" s="125">
        <v>45406.315787037034</v>
      </c>
      <c r="B14" s="126" t="s">
        <v>193</v>
      </c>
      <c r="C14" s="126" t="s">
        <v>255</v>
      </c>
      <c r="D14" s="126">
        <v>467</v>
      </c>
      <c r="E14" s="127">
        <v>97</v>
      </c>
    </row>
    <row r="15" spans="1:9">
      <c r="A15" s="125">
        <v>45415.842106481483</v>
      </c>
      <c r="B15" s="126" t="s">
        <v>196</v>
      </c>
      <c r="C15" s="126" t="s">
        <v>255</v>
      </c>
      <c r="D15" s="126">
        <v>380</v>
      </c>
      <c r="E15" s="127">
        <v>92</v>
      </c>
    </row>
    <row r="16" spans="1:9">
      <c r="A16" s="125">
        <v>45425.368425925924</v>
      </c>
      <c r="B16" s="126" t="s">
        <v>191</v>
      </c>
      <c r="C16" s="126" t="s">
        <v>256</v>
      </c>
      <c r="D16" s="126">
        <v>497</v>
      </c>
      <c r="E16" s="127">
        <v>71</v>
      </c>
    </row>
    <row r="17" spans="1:18">
      <c r="A17" s="125">
        <v>45434.894733796296</v>
      </c>
      <c r="B17" s="126" t="s">
        <v>191</v>
      </c>
      <c r="C17" s="126" t="s">
        <v>255</v>
      </c>
      <c r="D17" s="126">
        <v>409</v>
      </c>
      <c r="E17" s="127">
        <v>81</v>
      </c>
    </row>
    <row r="18" spans="1:18">
      <c r="A18" s="125">
        <v>45444.421053240738</v>
      </c>
      <c r="B18" s="126" t="s">
        <v>196</v>
      </c>
      <c r="C18" s="126" t="s">
        <v>256</v>
      </c>
      <c r="D18" s="126">
        <v>53</v>
      </c>
      <c r="E18" s="127">
        <v>45</v>
      </c>
    </row>
    <row r="19" spans="1:18">
      <c r="A19" s="125">
        <v>45453.947372685187</v>
      </c>
      <c r="B19" s="126" t="s">
        <v>196</v>
      </c>
      <c r="C19" s="126" t="s">
        <v>257</v>
      </c>
      <c r="D19" s="126">
        <v>398</v>
      </c>
      <c r="E19" s="127">
        <v>33</v>
      </c>
      <c r="H19" s="35" t="s">
        <v>259</v>
      </c>
      <c r="I19" s="35"/>
      <c r="J19" s="35"/>
      <c r="K19" s="35"/>
      <c r="L19" s="35"/>
      <c r="M19" s="35"/>
      <c r="N19" s="35"/>
      <c r="O19" s="35"/>
      <c r="P19" s="35"/>
      <c r="Q19" s="35"/>
      <c r="R19" s="35"/>
    </row>
    <row r="20" spans="1:18">
      <c r="A20" s="125">
        <v>45463.473680555559</v>
      </c>
      <c r="B20" s="126" t="s">
        <v>198</v>
      </c>
      <c r="C20" s="126" t="s">
        <v>256</v>
      </c>
      <c r="D20" s="126">
        <v>347</v>
      </c>
      <c r="E20" s="127">
        <v>35</v>
      </c>
      <c r="H20" s="35"/>
      <c r="I20" s="35"/>
      <c r="J20" s="35"/>
      <c r="K20" s="35"/>
      <c r="L20" s="35"/>
      <c r="M20" s="35"/>
      <c r="N20" s="35"/>
      <c r="O20" s="35"/>
      <c r="P20" s="35"/>
      <c r="Q20" s="35"/>
      <c r="R20" s="35"/>
    </row>
    <row r="21" spans="1:18">
      <c r="A21" s="128">
        <v>45473</v>
      </c>
      <c r="B21" s="129" t="s">
        <v>191</v>
      </c>
      <c r="C21" s="129" t="s">
        <v>257</v>
      </c>
      <c r="D21" s="129">
        <v>319</v>
      </c>
      <c r="E21" s="130">
        <v>45</v>
      </c>
    </row>
    <row r="22" spans="1:18">
      <c r="H22" s="35" t="s">
        <v>260</v>
      </c>
      <c r="I22" s="35"/>
      <c r="J22" s="35"/>
      <c r="K22" s="35"/>
      <c r="L22" s="35"/>
      <c r="M22" s="35"/>
      <c r="N22" s="35" t="s">
        <v>261</v>
      </c>
    </row>
    <row r="23" spans="1:18">
      <c r="A23" s="35" t="s">
        <v>262</v>
      </c>
      <c r="B23" s="35"/>
      <c r="C23" s="35"/>
      <c r="D23" s="35"/>
      <c r="E23" s="35"/>
    </row>
    <row r="24" spans="1:18">
      <c r="A24" s="123" t="s">
        <v>203</v>
      </c>
      <c r="B24" s="124" t="s">
        <v>241</v>
      </c>
      <c r="C24" s="124" t="s">
        <v>252</v>
      </c>
      <c r="D24" s="124" t="s">
        <v>253</v>
      </c>
      <c r="E24" s="124" t="s">
        <v>254</v>
      </c>
      <c r="H24" s="132" t="s">
        <v>203</v>
      </c>
      <c r="I24" s="124" t="s">
        <v>241</v>
      </c>
      <c r="J24" s="124" t="s">
        <v>252</v>
      </c>
      <c r="K24" s="124" t="s">
        <v>253</v>
      </c>
      <c r="L24" s="124" t="s">
        <v>254</v>
      </c>
      <c r="M24" s="132" t="s">
        <v>75</v>
      </c>
      <c r="N24" s="123" t="s">
        <v>263</v>
      </c>
      <c r="O24" s="124" t="s">
        <v>264</v>
      </c>
      <c r="P24" s="124" t="s">
        <v>265</v>
      </c>
      <c r="Q24" s="124" t="s">
        <v>266</v>
      </c>
      <c r="R24" s="135" t="s">
        <v>267</v>
      </c>
    </row>
    <row r="25" spans="1:18">
      <c r="A25" s="125">
        <v>45292</v>
      </c>
      <c r="B25" s="126" t="s">
        <v>196</v>
      </c>
      <c r="C25" s="126" t="s">
        <v>255</v>
      </c>
      <c r="D25" s="126">
        <v>456</v>
      </c>
      <c r="E25" s="127">
        <v>93</v>
      </c>
      <c r="H25" s="133">
        <v>45473</v>
      </c>
      <c r="I25" s="126" t="s">
        <v>191</v>
      </c>
      <c r="J25" s="126" t="s">
        <v>257</v>
      </c>
      <c r="K25" s="126">
        <v>319</v>
      </c>
      <c r="L25" s="127">
        <v>45</v>
      </c>
      <c r="M25" s="138"/>
      <c r="N25" s="125">
        <v>45473</v>
      </c>
      <c r="O25" s="126" t="s">
        <v>191</v>
      </c>
      <c r="P25" s="126" t="s">
        <v>257</v>
      </c>
      <c r="Q25" s="126">
        <v>319</v>
      </c>
      <c r="R25" s="136">
        <v>45</v>
      </c>
    </row>
    <row r="26" spans="1:18">
      <c r="A26" s="125">
        <v>45301.526319444441</v>
      </c>
      <c r="B26" s="126" t="s">
        <v>191</v>
      </c>
      <c r="C26" s="126" t="s">
        <v>256</v>
      </c>
      <c r="D26" s="126">
        <v>348</v>
      </c>
      <c r="E26" s="127">
        <v>56</v>
      </c>
      <c r="H26" s="133">
        <v>45463.473680555559</v>
      </c>
      <c r="I26" s="126" t="s">
        <v>198</v>
      </c>
      <c r="J26" s="126" t="s">
        <v>256</v>
      </c>
      <c r="K26" s="126">
        <v>347</v>
      </c>
      <c r="L26" s="127">
        <v>35</v>
      </c>
      <c r="M26" s="138"/>
      <c r="N26" s="125">
        <v>45463.473680555559</v>
      </c>
      <c r="O26" s="126" t="s">
        <v>198</v>
      </c>
      <c r="P26" s="126" t="s">
        <v>256</v>
      </c>
      <c r="Q26" s="126">
        <v>347</v>
      </c>
      <c r="R26" s="136">
        <v>35</v>
      </c>
    </row>
    <row r="27" spans="1:18">
      <c r="A27" s="125">
        <v>45311.052627314813</v>
      </c>
      <c r="B27" s="126" t="s">
        <v>191</v>
      </c>
      <c r="C27" s="126" t="s">
        <v>255</v>
      </c>
      <c r="D27" s="126">
        <v>247</v>
      </c>
      <c r="E27" s="127">
        <v>76</v>
      </c>
      <c r="H27" s="133">
        <v>45453.947372685187</v>
      </c>
      <c r="I27" s="126" t="s">
        <v>196</v>
      </c>
      <c r="J27" s="126" t="s">
        <v>257</v>
      </c>
      <c r="K27" s="126">
        <v>398</v>
      </c>
      <c r="L27" s="127">
        <v>33</v>
      </c>
      <c r="M27" s="138"/>
      <c r="N27" s="125">
        <v>45453.947372685187</v>
      </c>
      <c r="O27" s="126" t="s">
        <v>196</v>
      </c>
      <c r="P27" s="126" t="s">
        <v>257</v>
      </c>
      <c r="Q27" s="126">
        <v>398</v>
      </c>
      <c r="R27" s="136">
        <v>33</v>
      </c>
    </row>
    <row r="28" spans="1:18">
      <c r="A28" s="125">
        <v>45320.578946759262</v>
      </c>
      <c r="B28" s="126" t="s">
        <v>196</v>
      </c>
      <c r="C28" s="126" t="s">
        <v>257</v>
      </c>
      <c r="D28" s="126">
        <v>230</v>
      </c>
      <c r="E28" s="127">
        <v>37</v>
      </c>
      <c r="H28" s="133">
        <v>45444.421053240738</v>
      </c>
      <c r="I28" s="126" t="s">
        <v>196</v>
      </c>
      <c r="J28" s="126" t="s">
        <v>256</v>
      </c>
      <c r="K28" s="126">
        <v>53</v>
      </c>
      <c r="L28" s="127">
        <v>45</v>
      </c>
      <c r="M28" s="138"/>
      <c r="N28" s="125">
        <v>45444.421053240738</v>
      </c>
      <c r="O28" s="126" t="s">
        <v>196</v>
      </c>
      <c r="P28" s="126" t="s">
        <v>256</v>
      </c>
      <c r="Q28" s="126">
        <v>53</v>
      </c>
      <c r="R28" s="136">
        <v>45</v>
      </c>
    </row>
    <row r="29" spans="1:18">
      <c r="A29" s="125">
        <v>45330.105266203704</v>
      </c>
      <c r="B29" s="126" t="s">
        <v>196</v>
      </c>
      <c r="C29" s="126" t="s">
        <v>255</v>
      </c>
      <c r="D29" s="126">
        <v>281</v>
      </c>
      <c r="E29" s="127">
        <v>50</v>
      </c>
      <c r="H29" s="133">
        <v>45434.894733796296</v>
      </c>
      <c r="I29" s="126" t="s">
        <v>191</v>
      </c>
      <c r="J29" s="126" t="s">
        <v>255</v>
      </c>
      <c r="K29" s="126">
        <v>409</v>
      </c>
      <c r="L29" s="127">
        <v>81</v>
      </c>
      <c r="M29" s="138"/>
      <c r="N29" s="125">
        <v>45434.894733796296</v>
      </c>
      <c r="O29" s="126" t="s">
        <v>191</v>
      </c>
      <c r="P29" s="126" t="s">
        <v>255</v>
      </c>
      <c r="Q29" s="126">
        <v>409</v>
      </c>
      <c r="R29" s="136">
        <v>81</v>
      </c>
    </row>
    <row r="30" spans="1:18">
      <c r="A30" s="125">
        <v>45339.631574074076</v>
      </c>
      <c r="B30" s="126" t="s">
        <v>196</v>
      </c>
      <c r="C30" s="126" t="s">
        <v>256</v>
      </c>
      <c r="D30" s="126">
        <v>334</v>
      </c>
      <c r="E30" s="127">
        <v>52</v>
      </c>
      <c r="H30" s="133">
        <v>45425.368425925924</v>
      </c>
      <c r="I30" s="126" t="s">
        <v>191</v>
      </c>
      <c r="J30" s="126" t="s">
        <v>256</v>
      </c>
      <c r="K30" s="126">
        <v>497</v>
      </c>
      <c r="L30" s="127">
        <v>71</v>
      </c>
      <c r="M30" s="138"/>
      <c r="N30" s="125">
        <v>45425.368425925924</v>
      </c>
      <c r="O30" s="126" t="s">
        <v>191</v>
      </c>
      <c r="P30" s="126" t="s">
        <v>256</v>
      </c>
      <c r="Q30" s="126">
        <v>497</v>
      </c>
      <c r="R30" s="136">
        <v>71</v>
      </c>
    </row>
    <row r="31" spans="1:18">
      <c r="A31" s="125">
        <v>45349.157893518517</v>
      </c>
      <c r="B31" s="126" t="s">
        <v>191</v>
      </c>
      <c r="C31" s="126" t="s">
        <v>257</v>
      </c>
      <c r="D31" s="126">
        <v>417</v>
      </c>
      <c r="E31" s="127">
        <v>29</v>
      </c>
      <c r="H31" s="133">
        <v>45415.842106481483</v>
      </c>
      <c r="I31" s="126" t="s">
        <v>196</v>
      </c>
      <c r="J31" s="126" t="s">
        <v>255</v>
      </c>
      <c r="K31" s="126">
        <v>380</v>
      </c>
      <c r="L31" s="127">
        <v>92</v>
      </c>
      <c r="M31" s="138"/>
      <c r="N31" s="125">
        <v>45415.842106481483</v>
      </c>
      <c r="O31" s="126" t="s">
        <v>196</v>
      </c>
      <c r="P31" s="126" t="s">
        <v>255</v>
      </c>
      <c r="Q31" s="126">
        <v>380</v>
      </c>
      <c r="R31" s="136">
        <v>92</v>
      </c>
    </row>
    <row r="32" spans="1:18">
      <c r="A32" s="125">
        <v>45358.684212962966</v>
      </c>
      <c r="B32" s="126" t="s">
        <v>196</v>
      </c>
      <c r="C32" s="126" t="s">
        <v>257</v>
      </c>
      <c r="D32" s="126">
        <v>441</v>
      </c>
      <c r="E32" s="127">
        <v>44</v>
      </c>
      <c r="H32" s="133">
        <v>45406.315787037034</v>
      </c>
      <c r="I32" s="126" t="s">
        <v>193</v>
      </c>
      <c r="J32" s="126" t="s">
        <v>255</v>
      </c>
      <c r="K32" s="126">
        <v>467</v>
      </c>
      <c r="L32" s="127">
        <v>97</v>
      </c>
      <c r="M32" s="138"/>
      <c r="N32" s="125">
        <v>45406.315787037034</v>
      </c>
      <c r="O32" s="126" t="s">
        <v>193</v>
      </c>
      <c r="P32" s="126" t="s">
        <v>255</v>
      </c>
      <c r="Q32" s="126">
        <v>467</v>
      </c>
      <c r="R32" s="136">
        <v>97</v>
      </c>
    </row>
    <row r="33" spans="1:18">
      <c r="A33" s="125">
        <v>45368.210520833331</v>
      </c>
      <c r="B33" s="126" t="s">
        <v>191</v>
      </c>
      <c r="C33" s="126" t="s">
        <v>255</v>
      </c>
      <c r="D33" s="126">
        <v>76</v>
      </c>
      <c r="E33" s="127">
        <v>63</v>
      </c>
      <c r="H33" s="133">
        <v>45396.789479166669</v>
      </c>
      <c r="I33" s="126" t="s">
        <v>196</v>
      </c>
      <c r="J33" s="126" t="s">
        <v>256</v>
      </c>
      <c r="K33" s="126">
        <v>483</v>
      </c>
      <c r="L33" s="127">
        <v>97</v>
      </c>
      <c r="M33" s="138"/>
      <c r="N33" s="125">
        <v>45396.789479166669</v>
      </c>
      <c r="O33" s="126" t="s">
        <v>196</v>
      </c>
      <c r="P33" s="126" t="s">
        <v>256</v>
      </c>
      <c r="Q33" s="126">
        <v>483</v>
      </c>
      <c r="R33" s="136">
        <v>97</v>
      </c>
    </row>
    <row r="34" spans="1:18">
      <c r="A34" s="125">
        <v>45377.736840277779</v>
      </c>
      <c r="B34" s="126" t="s">
        <v>196</v>
      </c>
      <c r="C34" s="126" t="s">
        <v>256</v>
      </c>
      <c r="D34" s="126">
        <v>441</v>
      </c>
      <c r="E34" s="127">
        <v>79</v>
      </c>
      <c r="H34" s="133">
        <v>45387.263159722221</v>
      </c>
      <c r="I34" s="126" t="s">
        <v>191</v>
      </c>
      <c r="J34" s="126" t="s">
        <v>255</v>
      </c>
      <c r="K34" s="126">
        <v>205</v>
      </c>
      <c r="L34" s="127">
        <v>23</v>
      </c>
      <c r="M34" s="138"/>
      <c r="N34" s="125">
        <v>45387.263159722221</v>
      </c>
      <c r="O34" s="126" t="s">
        <v>191</v>
      </c>
      <c r="P34" s="126" t="s">
        <v>255</v>
      </c>
      <c r="Q34" s="126">
        <v>205</v>
      </c>
      <c r="R34" s="136">
        <v>23</v>
      </c>
    </row>
    <row r="35" spans="1:18">
      <c r="A35" s="125">
        <v>45387.263159722221</v>
      </c>
      <c r="B35" s="126" t="s">
        <v>191</v>
      </c>
      <c r="C35" s="126" t="s">
        <v>255</v>
      </c>
      <c r="D35" s="126">
        <v>205</v>
      </c>
      <c r="E35" s="127">
        <v>23</v>
      </c>
      <c r="H35" s="133">
        <v>45377.736840277779</v>
      </c>
      <c r="I35" s="126" t="s">
        <v>196</v>
      </c>
      <c r="J35" s="126" t="s">
        <v>256</v>
      </c>
      <c r="K35" s="126">
        <v>441</v>
      </c>
      <c r="L35" s="127">
        <v>79</v>
      </c>
      <c r="M35" s="138"/>
      <c r="N35" s="125">
        <v>45377.736840277779</v>
      </c>
      <c r="O35" s="126" t="s">
        <v>196</v>
      </c>
      <c r="P35" s="126" t="s">
        <v>256</v>
      </c>
      <c r="Q35" s="126">
        <v>441</v>
      </c>
      <c r="R35" s="136">
        <v>79</v>
      </c>
    </row>
    <row r="36" spans="1:18">
      <c r="A36" s="125">
        <v>45396.789479166669</v>
      </c>
      <c r="B36" s="126" t="s">
        <v>196</v>
      </c>
      <c r="C36" s="126" t="s">
        <v>256</v>
      </c>
      <c r="D36" s="126">
        <v>483</v>
      </c>
      <c r="E36" s="127">
        <v>97</v>
      </c>
      <c r="H36" s="133">
        <v>45368.210520833331</v>
      </c>
      <c r="I36" s="126" t="s">
        <v>191</v>
      </c>
      <c r="J36" s="126" t="s">
        <v>255</v>
      </c>
      <c r="K36" s="126">
        <v>76</v>
      </c>
      <c r="L36" s="127">
        <v>63</v>
      </c>
      <c r="M36" s="138"/>
      <c r="N36" s="125">
        <v>45368.210520833331</v>
      </c>
      <c r="O36" s="126" t="s">
        <v>191</v>
      </c>
      <c r="P36" s="126" t="s">
        <v>255</v>
      </c>
      <c r="Q36" s="126">
        <v>76</v>
      </c>
      <c r="R36" s="136">
        <v>63</v>
      </c>
    </row>
    <row r="37" spans="1:18">
      <c r="A37" s="125">
        <v>45406.315787037034</v>
      </c>
      <c r="B37" s="126" t="s">
        <v>193</v>
      </c>
      <c r="C37" s="126" t="s">
        <v>255</v>
      </c>
      <c r="D37" s="126">
        <v>467</v>
      </c>
      <c r="E37" s="127">
        <v>97</v>
      </c>
      <c r="H37" s="133">
        <v>45358.684212962966</v>
      </c>
      <c r="I37" s="126" t="s">
        <v>196</v>
      </c>
      <c r="J37" s="126" t="s">
        <v>257</v>
      </c>
      <c r="K37" s="126">
        <v>441</v>
      </c>
      <c r="L37" s="127">
        <v>44</v>
      </c>
      <c r="M37" s="138"/>
      <c r="N37" s="125">
        <v>45358.684212962966</v>
      </c>
      <c r="O37" s="126" t="s">
        <v>196</v>
      </c>
      <c r="P37" s="126" t="s">
        <v>257</v>
      </c>
      <c r="Q37" s="126">
        <v>441</v>
      </c>
      <c r="R37" s="136">
        <v>44</v>
      </c>
    </row>
    <row r="38" spans="1:18">
      <c r="A38" s="125">
        <v>45415.842106481483</v>
      </c>
      <c r="B38" s="126" t="s">
        <v>196</v>
      </c>
      <c r="C38" s="126" t="s">
        <v>255</v>
      </c>
      <c r="D38" s="126">
        <v>380</v>
      </c>
      <c r="E38" s="127">
        <v>92</v>
      </c>
      <c r="H38" s="133">
        <v>45349.157893518517</v>
      </c>
      <c r="I38" s="126" t="s">
        <v>191</v>
      </c>
      <c r="J38" s="126" t="s">
        <v>257</v>
      </c>
      <c r="K38" s="126">
        <v>417</v>
      </c>
      <c r="L38" s="127">
        <v>29</v>
      </c>
      <c r="M38" s="138"/>
      <c r="N38" s="125">
        <v>45349.157893518517</v>
      </c>
      <c r="O38" s="126" t="s">
        <v>191</v>
      </c>
      <c r="P38" s="126" t="s">
        <v>257</v>
      </c>
      <c r="Q38" s="126">
        <v>417</v>
      </c>
      <c r="R38" s="136">
        <v>29</v>
      </c>
    </row>
    <row r="39" spans="1:18">
      <c r="A39" s="125">
        <v>45425.368425925924</v>
      </c>
      <c r="B39" s="126" t="s">
        <v>191</v>
      </c>
      <c r="C39" s="126" t="s">
        <v>256</v>
      </c>
      <c r="D39" s="126">
        <v>497</v>
      </c>
      <c r="E39" s="127">
        <v>71</v>
      </c>
      <c r="H39" s="133">
        <v>45339.631574074076</v>
      </c>
      <c r="I39" s="126" t="s">
        <v>196</v>
      </c>
      <c r="J39" s="126" t="s">
        <v>256</v>
      </c>
      <c r="K39" s="126">
        <v>334</v>
      </c>
      <c r="L39" s="127">
        <v>52</v>
      </c>
      <c r="M39" s="138"/>
      <c r="N39" s="125">
        <v>45339.631574074076</v>
      </c>
      <c r="O39" s="126" t="s">
        <v>196</v>
      </c>
      <c r="P39" s="126" t="s">
        <v>256</v>
      </c>
      <c r="Q39" s="126">
        <v>334</v>
      </c>
      <c r="R39" s="136">
        <v>52</v>
      </c>
    </row>
    <row r="40" spans="1:18">
      <c r="A40" s="125">
        <v>45434.894733796296</v>
      </c>
      <c r="B40" s="126" t="s">
        <v>191</v>
      </c>
      <c r="C40" s="126" t="s">
        <v>255</v>
      </c>
      <c r="D40" s="126">
        <v>409</v>
      </c>
      <c r="E40" s="127">
        <v>81</v>
      </c>
      <c r="H40" s="133">
        <v>45330.105266203704</v>
      </c>
      <c r="I40" s="126" t="s">
        <v>196</v>
      </c>
      <c r="J40" s="126" t="s">
        <v>255</v>
      </c>
      <c r="K40" s="126">
        <v>281</v>
      </c>
      <c r="L40" s="127">
        <v>50</v>
      </c>
      <c r="M40" s="138"/>
      <c r="N40" s="125">
        <v>45330.105266203704</v>
      </c>
      <c r="O40" s="126" t="s">
        <v>196</v>
      </c>
      <c r="P40" s="126" t="s">
        <v>255</v>
      </c>
      <c r="Q40" s="126">
        <v>281</v>
      </c>
      <c r="R40" s="136">
        <v>50</v>
      </c>
    </row>
    <row r="41" spans="1:18">
      <c r="A41" s="125">
        <v>45444.421053240738</v>
      </c>
      <c r="B41" s="126" t="s">
        <v>196</v>
      </c>
      <c r="C41" s="126" t="s">
        <v>256</v>
      </c>
      <c r="D41" s="126">
        <v>53</v>
      </c>
      <c r="E41" s="127">
        <v>45</v>
      </c>
      <c r="H41" s="133">
        <v>45320.578946759262</v>
      </c>
      <c r="I41" s="126" t="s">
        <v>196</v>
      </c>
      <c r="J41" s="126" t="s">
        <v>257</v>
      </c>
      <c r="K41" s="126">
        <v>230</v>
      </c>
      <c r="L41" s="127">
        <v>37</v>
      </c>
      <c r="M41" s="138"/>
      <c r="N41" s="125">
        <v>45320.578946759262</v>
      </c>
      <c r="O41" s="126" t="s">
        <v>196</v>
      </c>
      <c r="P41" s="126" t="s">
        <v>257</v>
      </c>
      <c r="Q41" s="126">
        <v>230</v>
      </c>
      <c r="R41" s="136">
        <v>37</v>
      </c>
    </row>
    <row r="42" spans="1:18">
      <c r="A42" s="125">
        <v>45453.947372685187</v>
      </c>
      <c r="B42" s="126" t="s">
        <v>196</v>
      </c>
      <c r="C42" s="126" t="s">
        <v>257</v>
      </c>
      <c r="D42" s="126">
        <v>398</v>
      </c>
      <c r="E42" s="127">
        <v>33</v>
      </c>
      <c r="H42" s="133">
        <v>45311.052627314813</v>
      </c>
      <c r="I42" s="126" t="s">
        <v>191</v>
      </c>
      <c r="J42" s="126" t="s">
        <v>255</v>
      </c>
      <c r="K42" s="126">
        <v>247</v>
      </c>
      <c r="L42" s="127">
        <v>76</v>
      </c>
      <c r="M42" s="138"/>
      <c r="N42" s="125">
        <v>45311.052627314813</v>
      </c>
      <c r="O42" s="126" t="s">
        <v>191</v>
      </c>
      <c r="P42" s="126" t="s">
        <v>255</v>
      </c>
      <c r="Q42" s="126">
        <v>247</v>
      </c>
      <c r="R42" s="136">
        <v>76</v>
      </c>
    </row>
    <row r="43" spans="1:18">
      <c r="A43" s="125">
        <v>45463.473680555559</v>
      </c>
      <c r="B43" s="126" t="s">
        <v>198</v>
      </c>
      <c r="C43" s="126" t="s">
        <v>256</v>
      </c>
      <c r="D43" s="126">
        <v>347</v>
      </c>
      <c r="E43" s="127">
        <v>35</v>
      </c>
      <c r="H43" s="133">
        <v>45301.526319444441</v>
      </c>
      <c r="I43" s="126" t="s">
        <v>191</v>
      </c>
      <c r="J43" s="126" t="s">
        <v>256</v>
      </c>
      <c r="K43" s="126">
        <v>348</v>
      </c>
      <c r="L43" s="127">
        <v>56</v>
      </c>
      <c r="M43" s="138"/>
      <c r="N43" s="125">
        <v>45301.526319444441</v>
      </c>
      <c r="O43" s="126" t="s">
        <v>191</v>
      </c>
      <c r="P43" s="126" t="s">
        <v>256</v>
      </c>
      <c r="Q43" s="126">
        <v>348</v>
      </c>
      <c r="R43" s="136">
        <v>56</v>
      </c>
    </row>
    <row r="44" spans="1:18">
      <c r="A44" s="128">
        <v>45473</v>
      </c>
      <c r="B44" s="129" t="s">
        <v>191</v>
      </c>
      <c r="C44" s="129" t="s">
        <v>257</v>
      </c>
      <c r="D44" s="129">
        <v>319</v>
      </c>
      <c r="E44" s="130">
        <v>45</v>
      </c>
      <c r="H44" s="134">
        <v>45292</v>
      </c>
      <c r="I44" s="129" t="s">
        <v>196</v>
      </c>
      <c r="J44" s="129" t="s">
        <v>255</v>
      </c>
      <c r="K44" s="129">
        <v>456</v>
      </c>
      <c r="L44" s="130">
        <v>93</v>
      </c>
      <c r="M44" s="139"/>
      <c r="N44" s="128">
        <v>45292</v>
      </c>
      <c r="O44" s="129" t="s">
        <v>196</v>
      </c>
      <c r="P44" s="129" t="s">
        <v>255</v>
      </c>
      <c r="Q44" s="129">
        <v>456</v>
      </c>
      <c r="R44" s="137">
        <v>93</v>
      </c>
    </row>
    <row r="47" spans="1:18">
      <c r="A47" s="35"/>
      <c r="B47" s="35"/>
      <c r="C47" s="35"/>
      <c r="D47" s="35"/>
    </row>
    <row r="48" spans="1:18">
      <c r="A48" s="35" t="s">
        <v>268</v>
      </c>
      <c r="B48" s="35"/>
      <c r="C48" s="35"/>
      <c r="D48" s="35"/>
    </row>
    <row r="50" spans="1:2">
      <c r="A50" s="131" t="s">
        <v>203</v>
      </c>
      <c r="B50" t="s">
        <v>250</v>
      </c>
    </row>
    <row r="51" spans="1:2">
      <c r="A51" s="60">
        <v>45292</v>
      </c>
      <c r="B51" s="56">
        <v>456</v>
      </c>
    </row>
    <row r="52" spans="1:2">
      <c r="A52" s="60">
        <v>45301.526319444441</v>
      </c>
      <c r="B52" s="56">
        <v>348</v>
      </c>
    </row>
    <row r="53" spans="1:2">
      <c r="A53" s="60">
        <v>45311.052627314813</v>
      </c>
      <c r="B53" s="56">
        <v>247</v>
      </c>
    </row>
    <row r="54" spans="1:2">
      <c r="A54" s="60">
        <v>45320.578946759262</v>
      </c>
      <c r="B54" s="56">
        <v>230</v>
      </c>
    </row>
    <row r="55" spans="1:2">
      <c r="A55" s="60">
        <v>45330.105266203704</v>
      </c>
      <c r="B55" s="56">
        <v>281</v>
      </c>
    </row>
    <row r="56" spans="1:2">
      <c r="A56" s="60">
        <v>45339.631574074076</v>
      </c>
      <c r="B56" s="56">
        <v>334</v>
      </c>
    </row>
    <row r="57" spans="1:2">
      <c r="A57" s="60">
        <v>45349.157893518517</v>
      </c>
      <c r="B57" s="56">
        <v>417</v>
      </c>
    </row>
    <row r="58" spans="1:2">
      <c r="A58" s="60">
        <v>45358.684212962966</v>
      </c>
      <c r="B58" s="56">
        <v>441</v>
      </c>
    </row>
    <row r="59" spans="1:2">
      <c r="A59" s="60">
        <v>45368.210520833331</v>
      </c>
      <c r="B59" s="56">
        <v>76</v>
      </c>
    </row>
    <row r="60" spans="1:2">
      <c r="A60" s="60">
        <v>45377.736840277779</v>
      </c>
      <c r="B60" s="56">
        <v>441</v>
      </c>
    </row>
    <row r="61" spans="1:2">
      <c r="A61" s="60">
        <v>45387.263159722221</v>
      </c>
      <c r="B61" s="56">
        <v>205</v>
      </c>
    </row>
    <row r="62" spans="1:2">
      <c r="A62" s="60">
        <v>45396.789479166669</v>
      </c>
      <c r="B62" s="56">
        <v>483</v>
      </c>
    </row>
    <row r="63" spans="1:2">
      <c r="A63" s="60">
        <v>45406.315787037034</v>
      </c>
      <c r="B63" s="56">
        <v>467</v>
      </c>
    </row>
    <row r="64" spans="1:2">
      <c r="A64" s="60">
        <v>45415.842106481483</v>
      </c>
      <c r="B64" s="56">
        <v>380</v>
      </c>
    </row>
    <row r="65" spans="1:2">
      <c r="A65" s="60">
        <v>45425.368425925924</v>
      </c>
      <c r="B65" s="56">
        <v>497</v>
      </c>
    </row>
    <row r="66" spans="1:2">
      <c r="A66" s="60">
        <v>45434.894733796296</v>
      </c>
      <c r="B66" s="56">
        <v>409</v>
      </c>
    </row>
    <row r="67" spans="1:2">
      <c r="A67" s="60">
        <v>45444.421053240738</v>
      </c>
      <c r="B67" s="56">
        <v>53</v>
      </c>
    </row>
    <row r="68" spans="1:2">
      <c r="A68" s="60">
        <v>45453.947372685187</v>
      </c>
      <c r="B68" s="56">
        <v>398</v>
      </c>
    </row>
    <row r="69" spans="1:2">
      <c r="A69" s="60">
        <v>45463.473680555559</v>
      </c>
      <c r="B69" s="56">
        <v>347</v>
      </c>
    </row>
    <row r="70" spans="1:2">
      <c r="A70" s="60">
        <v>45473</v>
      </c>
      <c r="B70" s="56">
        <v>319</v>
      </c>
    </row>
    <row r="71" spans="1:2">
      <c r="A71" s="60" t="s">
        <v>251</v>
      </c>
      <c r="B71" s="56">
        <v>6829</v>
      </c>
    </row>
  </sheetData>
  <sortState xmlns:xlrd2="http://schemas.microsoft.com/office/spreadsheetml/2017/richdata2" ref="H25:L44">
    <sortCondition descending="1" ref="H25:H44"/>
  </sortState>
  <conditionalFormatting sqref="A24:E44">
    <cfRule type="cellIs" dxfId="14" priority="1" operator="greaterThan">
      <formula>400</formula>
    </cfRule>
  </conditionalFormatting>
  <pageMargins left="0.7" right="0.7" top="0.75" bottom="0.75" header="0.3" footer="0.3"/>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8FFB9E-8BBC-496A-8B87-F38EAA50296A}"/>
</file>

<file path=customXml/itemProps2.xml><?xml version="1.0" encoding="utf-8"?>
<ds:datastoreItem xmlns:ds="http://schemas.openxmlformats.org/officeDocument/2006/customXml" ds:itemID="{735CA29F-6C84-4700-8F7F-3E086F5D1717}"/>
</file>

<file path=customXml/itemProps3.xml><?xml version="1.0" encoding="utf-8"?>
<ds:datastoreItem xmlns:ds="http://schemas.openxmlformats.org/officeDocument/2006/customXml" ds:itemID="{B9E6C62B-4ED2-4B38-9D99-C8786FE240B7}"/>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2026-03-10T05:47:27Z</dcterms:created>
  <dcterms:modified xsi:type="dcterms:W3CDTF">2026-04-08T09:20:24Z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